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aronkin.NODAL\Desktop\Работа\Автоматизация\Рабочий файл и квоты\"/>
    </mc:Choice>
  </mc:AlternateContent>
  <bookViews>
    <workbookView xWindow="120" yWindow="15" windowWidth="19320" windowHeight="11640" activeTab="1"/>
  </bookViews>
  <sheets>
    <sheet name="Запрос квот" sheetId="94" r:id="rId1"/>
    <sheet name="Квоты" sheetId="1" r:id="rId2"/>
    <sheet name="Анкета" sheetId="119" r:id="rId3"/>
    <sheet name="КП" sheetId="6" state="veryHidden" r:id="rId4"/>
    <sheet name="КПэкс" sheetId="131" state="veryHidden" r:id="rId5"/>
    <sheet name="Счет" sheetId="7" state="veryHidden" r:id="rId6"/>
    <sheet name="Закупка" sheetId="8" state="veryHidden" r:id="rId7"/>
    <sheet name="Спец" sheetId="9" state="veryHidden" r:id="rId8"/>
    <sheet name="АГ" sheetId="10" state="veryHidden" r:id="rId9"/>
    <sheet name="КПрезерв" sheetId="13" state="veryHidden" r:id="rId10"/>
  </sheets>
  <definedNames>
    <definedName name="_xlnm.Print_Area" localSheetId="8">АГ!$A$1:$J$2</definedName>
    <definedName name="_xlnm.Print_Area" localSheetId="6">Закупка!$A$1:$L$15</definedName>
    <definedName name="_xlnm.Print_Area" localSheetId="3">КП!$A$1:$K$17</definedName>
    <definedName name="_xlnm.Print_Area" localSheetId="9">КПрезерв!$A$1:$K$17</definedName>
    <definedName name="_xlnm.Print_Area" localSheetId="4">КПэкс!$A$1:$K$24</definedName>
    <definedName name="_xlnm.Print_Area" localSheetId="7">Спец!$A$1:$G$4</definedName>
    <definedName name="_xlnm.Print_Area" localSheetId="5">Счет!$A$1:$M$27</definedName>
  </definedNames>
  <calcPr calcId="162913"/>
</workbook>
</file>

<file path=xl/calcChain.xml><?xml version="1.0" encoding="utf-8"?>
<calcChain xmlns="http://schemas.openxmlformats.org/spreadsheetml/2006/main">
  <c r="C10" i="131" l="1"/>
  <c r="C9" i="131"/>
  <c r="B1" i="131"/>
  <c r="G10" i="8"/>
  <c r="F10" i="7"/>
  <c r="AI17" i="1" l="1"/>
  <c r="AI18" i="1"/>
  <c r="AI19" i="1"/>
  <c r="AI20" i="1"/>
  <c r="AI21" i="1"/>
  <c r="AI22" i="1"/>
  <c r="AI23" i="1"/>
  <c r="AI24" i="1"/>
  <c r="AI25" i="1"/>
  <c r="AI16" i="1"/>
  <c r="AI26" i="1" s="1"/>
  <c r="M2" i="1" s="1"/>
  <c r="I2" i="10" l="1"/>
  <c r="C10" i="13" l="1"/>
  <c r="C9" i="13"/>
  <c r="B1" i="13"/>
  <c r="C10" i="6"/>
  <c r="AA19" i="1"/>
  <c r="S19" i="1"/>
  <c r="S20" i="1"/>
  <c r="S21" i="1"/>
  <c r="T21" i="1" s="1"/>
  <c r="S22" i="1"/>
  <c r="T22" i="1" s="1"/>
  <c r="S23" i="1"/>
  <c r="S24" i="1"/>
  <c r="S25" i="1"/>
  <c r="M19" i="1"/>
  <c r="M20" i="1"/>
  <c r="M21" i="1"/>
  <c r="M22" i="1"/>
  <c r="M23" i="1"/>
  <c r="M24" i="1"/>
  <c r="M25" i="1"/>
  <c r="K6" i="7"/>
  <c r="J3" i="1"/>
  <c r="U20" i="1" s="1"/>
  <c r="V20" i="1" s="1"/>
  <c r="AA17" i="1"/>
  <c r="AA18" i="1"/>
  <c r="U24" i="1" l="1"/>
  <c r="V24" i="1" s="1"/>
  <c r="Y24" i="1" s="1"/>
  <c r="U25" i="1"/>
  <c r="V25" i="1" s="1"/>
  <c r="W25" i="1" s="1"/>
  <c r="N25" i="1"/>
  <c r="U22" i="1"/>
  <c r="V22" i="1" s="1"/>
  <c r="Y22" i="1" s="1"/>
  <c r="N24" i="1"/>
  <c r="W24" i="1" s="1"/>
  <c r="N22" i="1"/>
  <c r="W22" i="1" s="1"/>
  <c r="T19" i="1"/>
  <c r="T25" i="1"/>
  <c r="Y25" i="1"/>
  <c r="T24" i="1"/>
  <c r="N23" i="1"/>
  <c r="T23" i="1"/>
  <c r="U23" i="1"/>
  <c r="V23" i="1" s="1"/>
  <c r="N20" i="1"/>
  <c r="W20" i="1" s="1"/>
  <c r="T20" i="1"/>
  <c r="Y20" i="1"/>
  <c r="N19" i="1"/>
  <c r="N21" i="1"/>
  <c r="U21" i="1"/>
  <c r="V21" i="1" s="1"/>
  <c r="U19" i="1"/>
  <c r="V19" i="1" s="1"/>
  <c r="J4" i="1"/>
  <c r="X22" i="1" s="1"/>
  <c r="S18" i="1"/>
  <c r="M18" i="1"/>
  <c r="S17" i="1"/>
  <c r="M17" i="1"/>
  <c r="C10" i="8"/>
  <c r="C9" i="8"/>
  <c r="C10" i="7"/>
  <c r="C9" i="7"/>
  <c r="K4" i="7"/>
  <c r="K5" i="7"/>
  <c r="K3" i="7"/>
  <c r="H3" i="7"/>
  <c r="C9" i="6"/>
  <c r="B1" i="6"/>
  <c r="AA16" i="1"/>
  <c r="S16" i="1"/>
  <c r="M16" i="1"/>
  <c r="X23" i="1" l="1"/>
  <c r="X21" i="1"/>
  <c r="Y23" i="1"/>
  <c r="W23" i="1"/>
  <c r="Y21" i="1"/>
  <c r="W21" i="1"/>
  <c r="Y19" i="1"/>
  <c r="W19" i="1"/>
  <c r="X20" i="1"/>
  <c r="X19" i="1"/>
  <c r="X24" i="1"/>
  <c r="X25" i="1"/>
  <c r="H5" i="7"/>
  <c r="T16" i="1"/>
  <c r="T18" i="1"/>
  <c r="N17" i="1"/>
  <c r="T17" i="1"/>
  <c r="U17" i="1"/>
  <c r="V17" i="1" s="1"/>
  <c r="U18" i="1"/>
  <c r="V18" i="1" s="1"/>
  <c r="N18" i="1"/>
  <c r="H4" i="7"/>
  <c r="N16" i="1"/>
  <c r="U16" i="1"/>
  <c r="M26" i="1"/>
  <c r="AA26" i="1"/>
  <c r="S26" i="1"/>
  <c r="W17" i="1" l="1"/>
  <c r="Y17" i="1"/>
  <c r="Y18" i="1"/>
  <c r="W18" i="1"/>
  <c r="X17" i="1"/>
  <c r="X18" i="1"/>
  <c r="E41" i="1"/>
  <c r="T26" i="1"/>
  <c r="V16" i="1"/>
  <c r="E28" i="1"/>
  <c r="E29" i="1"/>
  <c r="E30" i="1"/>
  <c r="N26" i="1"/>
  <c r="E43" i="1"/>
  <c r="E40" i="1"/>
  <c r="E42" i="1"/>
  <c r="W16" i="1" l="1"/>
  <c r="Y16" i="1" s="1"/>
  <c r="Y26" i="1" s="1"/>
  <c r="X16" i="1"/>
  <c r="E31" i="1"/>
  <c r="E34" i="1"/>
  <c r="V26" i="1"/>
  <c r="W26" i="1" s="1"/>
  <c r="X26" i="1" l="1"/>
  <c r="E35" i="1"/>
  <c r="E37" i="1" s="1"/>
  <c r="E36" i="1"/>
</calcChain>
</file>

<file path=xl/comments1.xml><?xml version="1.0" encoding="utf-8"?>
<comments xmlns="http://schemas.openxmlformats.org/spreadsheetml/2006/main">
  <authors>
    <author>baronkin</author>
  </authors>
  <commentList>
    <comment ref="M4" authorId="0" shapeId="0">
      <text>
        <r>
          <rPr>
            <b/>
            <sz val="8"/>
            <color indexed="81"/>
            <rFont val="Tahoma"/>
            <family val="2"/>
            <charset val="204"/>
          </rPr>
          <t>baronkin:</t>
        </r>
        <r>
          <rPr>
            <sz val="8"/>
            <color indexed="81"/>
            <rFont val="Tahoma"/>
            <family val="2"/>
            <charset val="204"/>
          </rPr>
          <t xml:space="preserve">
Заполнять в рублях</t>
        </r>
      </text>
    </comment>
    <comment ref="Y15" authorId="0" shapeId="0">
      <text>
        <r>
          <rPr>
            <b/>
            <sz val="8"/>
            <color indexed="81"/>
            <rFont val="Tahoma"/>
            <family val="2"/>
            <charset val="204"/>
          </rPr>
          <t>baronkin:</t>
        </r>
        <r>
          <rPr>
            <sz val="8"/>
            <color indexed="81"/>
            <rFont val="Tahoma"/>
            <family val="2"/>
            <charset val="204"/>
          </rPr>
          <t xml:space="preserve">
Расчитывается только в том случае, если указана явная стоимость доставки в долларах в ячейке M6.
РАСЧЕТ ПРИМЕРНЫЙ.</t>
        </r>
      </text>
    </comment>
  </commentList>
</comments>
</file>

<file path=xl/sharedStrings.xml><?xml version="1.0" encoding="utf-8"?>
<sst xmlns="http://schemas.openxmlformats.org/spreadsheetml/2006/main" count="398" uniqueCount="223">
  <si>
    <t>Наименование позиции</t>
  </si>
  <si>
    <t>№</t>
  </si>
  <si>
    <t>Сумма закупки, руб.</t>
  </si>
  <si>
    <t>Сумма продажи, руб</t>
  </si>
  <si>
    <t>Сравнение с таргетами</t>
  </si>
  <si>
    <t>Суммарная разница между предполагаемой ценой и таргетом,%</t>
  </si>
  <si>
    <t>Производитель</t>
  </si>
  <si>
    <t>Корпус</t>
  </si>
  <si>
    <t>Сумма закупки, $</t>
  </si>
  <si>
    <t>Сумма продажи, $</t>
  </si>
  <si>
    <t>Квоты</t>
  </si>
  <si>
    <t>Сравнение цен</t>
  </si>
  <si>
    <t>Расчет ПМП</t>
  </si>
  <si>
    <t>Цена Efind</t>
  </si>
  <si>
    <t>Цена Компел</t>
  </si>
  <si>
    <t>Поставщик</t>
  </si>
  <si>
    <t>Сумма продажи, руб.</t>
  </si>
  <si>
    <t>Цена Findchip</t>
  </si>
  <si>
    <t>ПМП, % руб.</t>
  </si>
  <si>
    <t>ПМП, % $</t>
  </si>
  <si>
    <t>Сумма по таргетам, $</t>
  </si>
  <si>
    <t>Суммарная разница между предполагаемой суммой продажи и закупкой по таргетом, $</t>
  </si>
  <si>
    <t>Итоги, $</t>
  </si>
  <si>
    <t>Итоги, руб</t>
  </si>
  <si>
    <t>Срок поставки до поставщика</t>
  </si>
  <si>
    <t>для КП</t>
  </si>
  <si>
    <t>Курс ЦБ для счета</t>
  </si>
  <si>
    <t>Курс ЦБ + 5% для счета</t>
  </si>
  <si>
    <t>Курс доллара по факту закупки</t>
  </si>
  <si>
    <t>запрос на счет</t>
  </si>
  <si>
    <t>АГ</t>
  </si>
  <si>
    <t>запрос на закупку</t>
  </si>
  <si>
    <t>Дополнительная информация</t>
  </si>
  <si>
    <t>Русское название</t>
  </si>
  <si>
    <t>Примечание</t>
  </si>
  <si>
    <t>ПМП, $</t>
  </si>
  <si>
    <t>ПМП, %.</t>
  </si>
  <si>
    <t>ПМП, руб</t>
  </si>
  <si>
    <t>ПМП, %</t>
  </si>
  <si>
    <t>ПМП от Таргета, $</t>
  </si>
  <si>
    <t>ПМП от Таргета, %</t>
  </si>
  <si>
    <t>Вес по обычке, кг</t>
  </si>
  <si>
    <t>Вес по срочке, кг</t>
  </si>
  <si>
    <t>Срок поставки</t>
  </si>
  <si>
    <t>Заявка</t>
  </si>
  <si>
    <t>Компания "ЭлекПрайм"</t>
  </si>
  <si>
    <t>elecprime.ru</t>
  </si>
  <si>
    <t>info@elecprime.ru</t>
  </si>
  <si>
    <t>+7 (495) 646-70-48</t>
  </si>
  <si>
    <t>г. Москва, Строительный пр-д, 7а, к7</t>
  </si>
  <si>
    <t>Кол-во, шт</t>
  </si>
  <si>
    <t>Цена закупки, $/1шт</t>
  </si>
  <si>
    <t>Цена продажи, $/1шт</t>
  </si>
  <si>
    <t>Цена продажи, руб/1шт</t>
  </si>
  <si>
    <t>Таргет,
$/1шт</t>
  </si>
  <si>
    <t>Клиент</t>
  </si>
  <si>
    <t>Предложение "ЭлекПрайм"</t>
  </si>
  <si>
    <t>Год</t>
  </si>
  <si>
    <t xml:space="preserve">Коммерческое предложение для </t>
  </si>
  <si>
    <t>Ответственный:</t>
  </si>
  <si>
    <t xml:space="preserve">Ответственный: </t>
  </si>
  <si>
    <t xml:space="preserve">Дата: </t>
  </si>
  <si>
    <t>Сумма закупки, руб. (факт курс после конвертации)</t>
  </si>
  <si>
    <t>да</t>
  </si>
  <si>
    <t>нет</t>
  </si>
  <si>
    <t>VPT</t>
  </si>
  <si>
    <t>15+</t>
  </si>
  <si>
    <t>….</t>
  </si>
  <si>
    <t>Максим</t>
  </si>
  <si>
    <t>Дата:</t>
  </si>
  <si>
    <t>Счет №</t>
  </si>
  <si>
    <t>№ п/п</t>
  </si>
  <si>
    <t>Наименование товара</t>
  </si>
  <si>
    <t>Кол-во, шт.</t>
  </si>
  <si>
    <t>Срок гарантии, мес.</t>
  </si>
  <si>
    <t>Цена, руб.</t>
  </si>
  <si>
    <t>Стоимость, руб.</t>
  </si>
  <si>
    <t>Няхин Павел</t>
  </si>
  <si>
    <t>Курс ЦБ + 3% для счета</t>
  </si>
  <si>
    <t>Разъем DRB-15FA (15pin)</t>
  </si>
  <si>
    <t>3-4 нед.</t>
  </si>
  <si>
    <t>Правдин Алексей</t>
  </si>
  <si>
    <t>Разрядность цен</t>
  </si>
  <si>
    <t>доставка</t>
  </si>
  <si>
    <t>курьер</t>
  </si>
  <si>
    <t>самовывоз</t>
  </si>
  <si>
    <t>в наличии</t>
  </si>
  <si>
    <t>Доставка</t>
  </si>
  <si>
    <t>Валюта</t>
  </si>
  <si>
    <t>Доллары</t>
  </si>
  <si>
    <t>Рубли</t>
  </si>
  <si>
    <t>Иванова Оксана</t>
  </si>
  <si>
    <t>Баронкин Виталий</t>
  </si>
  <si>
    <t>Цена, $/1шт</t>
  </si>
  <si>
    <t>Сумма, $</t>
  </si>
  <si>
    <t>Сообщение в КП о доставке за наш счет</t>
  </si>
  <si>
    <t>Менеджер</t>
  </si>
  <si>
    <t>Контрагент</t>
  </si>
  <si>
    <t>№ счета</t>
  </si>
  <si>
    <t>Сумма счета, руб.</t>
  </si>
  <si>
    <t>Предварительная Маржинальная прибыль (ПМП), руб.</t>
  </si>
  <si>
    <t>Размер агентских (АГ), руб.</t>
  </si>
  <si>
    <t>ПМП-АГ, руб.</t>
  </si>
  <si>
    <t>Сумма выдачи АГ "на руки" Агенту, руб.</t>
  </si>
  <si>
    <t>Дата заполнения</t>
  </si>
  <si>
    <t>ООО "</t>
  </si>
  <si>
    <t>НДС, руб</t>
  </si>
  <si>
    <t>РМП, руб</t>
  </si>
  <si>
    <t>сумма доставки $</t>
  </si>
  <si>
    <t xml:space="preserve"> </t>
  </si>
  <si>
    <t>Юхименко Дмитрий</t>
  </si>
  <si>
    <t>Другой</t>
  </si>
  <si>
    <t>Цена, руб/1шт</t>
  </si>
  <si>
    <t>Сумма, руб</t>
  </si>
  <si>
    <t>Разъем DRB-15FA 15pin</t>
  </si>
  <si>
    <t xml:space="preserve">Курс ЦБ + 3% = </t>
  </si>
  <si>
    <t>Дата поступления на наш склад</t>
  </si>
  <si>
    <t>Искать квоты</t>
  </si>
  <si>
    <t>Остановить поиск</t>
  </si>
  <si>
    <t>Первая дата</t>
  </si>
  <si>
    <t>Обычная</t>
  </si>
  <si>
    <t>Срочно</t>
  </si>
  <si>
    <t>Ответственный</t>
  </si>
  <si>
    <t>Поиск квот</t>
  </si>
  <si>
    <t>Срочность</t>
  </si>
  <si>
    <r>
      <t xml:space="preserve">Заявка \ </t>
    </r>
    <r>
      <rPr>
        <b/>
        <sz val="14"/>
        <color indexed="30"/>
        <rFont val="Arial"/>
        <family val="2"/>
        <charset val="204"/>
      </rPr>
      <t>inquiry</t>
    </r>
  </si>
  <si>
    <t>N</t>
  </si>
  <si>
    <r>
      <t xml:space="preserve">Наименование
</t>
    </r>
    <r>
      <rPr>
        <b/>
        <sz val="11"/>
        <color indexed="30"/>
        <rFont val="Arial"/>
        <family val="2"/>
        <charset val="204"/>
      </rPr>
      <t>position name</t>
    </r>
  </si>
  <si>
    <r>
      <t xml:space="preserve">Кол-во
</t>
    </r>
    <r>
      <rPr>
        <b/>
        <sz val="11"/>
        <color indexed="30"/>
        <rFont val="Arial"/>
        <family val="2"/>
        <charset val="204"/>
      </rPr>
      <t>quantity</t>
    </r>
  </si>
  <si>
    <r>
      <t xml:space="preserve">Производитель
</t>
    </r>
    <r>
      <rPr>
        <b/>
        <sz val="11"/>
        <color indexed="30"/>
        <rFont val="Arial"/>
        <family val="2"/>
        <charset val="204"/>
      </rPr>
      <t>brand name</t>
    </r>
  </si>
  <si>
    <r>
      <t xml:space="preserve">Корпус
</t>
    </r>
    <r>
      <rPr>
        <b/>
        <sz val="11"/>
        <color indexed="30"/>
        <rFont val="Arial"/>
        <family val="2"/>
        <charset val="204"/>
      </rPr>
      <t>type</t>
    </r>
  </si>
  <si>
    <r>
      <t xml:space="preserve">Год
</t>
    </r>
    <r>
      <rPr>
        <b/>
        <sz val="11"/>
        <color indexed="30"/>
        <rFont val="Arial"/>
        <family val="2"/>
        <charset val="204"/>
      </rPr>
      <t>year</t>
    </r>
  </si>
  <si>
    <t>Цены указаны с учетом НДС.</t>
  </si>
  <si>
    <t>1</t>
  </si>
  <si>
    <t>Тип корпуса</t>
  </si>
  <si>
    <t>Вес</t>
  </si>
  <si>
    <t>PDIP</t>
  </si>
  <si>
    <t>PLCC</t>
  </si>
  <si>
    <t>LCC</t>
  </si>
  <si>
    <t>SSOP</t>
  </si>
  <si>
    <t>TSSOP</t>
  </si>
  <si>
    <t>TSOP</t>
  </si>
  <si>
    <t>QFP</t>
  </si>
  <si>
    <t>TQFP</t>
  </si>
  <si>
    <t>LQFP</t>
  </si>
  <si>
    <t>QFN</t>
  </si>
  <si>
    <t>DFN</t>
  </si>
  <si>
    <t>MSOP</t>
  </si>
  <si>
    <t>QSOP</t>
  </si>
  <si>
    <t>QVSOP</t>
  </si>
  <si>
    <t>DO-34</t>
  </si>
  <si>
    <t>DO-35</t>
  </si>
  <si>
    <t>DO-41</t>
  </si>
  <si>
    <t>Mini-MELF</t>
  </si>
  <si>
    <t>MELF</t>
  </si>
  <si>
    <t>Micro-MELF</t>
  </si>
  <si>
    <t>SMA/B/C/J-Lead</t>
  </si>
  <si>
    <t>SOD-123/323/523/723/923</t>
  </si>
  <si>
    <t>SOD-123F/323F/523F/723/923F</t>
  </si>
  <si>
    <t>TO-252</t>
  </si>
  <si>
    <t>TO-263</t>
  </si>
  <si>
    <t>SOT-223</t>
  </si>
  <si>
    <t>SOT-143</t>
  </si>
  <si>
    <t>SOT-89</t>
  </si>
  <si>
    <t>SOT-23</t>
  </si>
  <si>
    <t>TSOP-6</t>
  </si>
  <si>
    <t>TSSOP-8</t>
  </si>
  <si>
    <t>SOT-323</t>
  </si>
  <si>
    <t>SOT-353</t>
  </si>
  <si>
    <t>SOT-363</t>
  </si>
  <si>
    <t>TO-220</t>
  </si>
  <si>
    <t>TO-247AC</t>
  </si>
  <si>
    <t>TO-3P</t>
  </si>
  <si>
    <t>TO-251</t>
  </si>
  <si>
    <t>TO-262</t>
  </si>
  <si>
    <t>TO-126</t>
  </si>
  <si>
    <t>TO-92</t>
  </si>
  <si>
    <t>TO-18</t>
  </si>
  <si>
    <t>TO-39</t>
  </si>
  <si>
    <t>TO-218</t>
  </si>
  <si>
    <t>0201</t>
  </si>
  <si>
    <t>0402</t>
  </si>
  <si>
    <t>0603</t>
  </si>
  <si>
    <t>0805</t>
  </si>
  <si>
    <t>SOIC</t>
  </si>
  <si>
    <t>SOP</t>
  </si>
  <si>
    <t>SOJ</t>
  </si>
  <si>
    <t>SO</t>
  </si>
  <si>
    <t xml:space="preserve">Определение типа запроса </t>
  </si>
  <si>
    <t>Ответ клиента</t>
  </si>
  <si>
    <t>Сравнение цен или реальный заказ. Цены можем сравнить на 10 позиций (не более) и при получнеии таргета</t>
  </si>
  <si>
    <t xml:space="preserve">Срок поставки </t>
  </si>
  <si>
    <t>Условия оплаты (есть ли отсрочка)</t>
  </si>
  <si>
    <t xml:space="preserve">Военка или нет </t>
  </si>
  <si>
    <t>Получить таргет</t>
  </si>
  <si>
    <t>Есть ли бюджет на сделку</t>
  </si>
  <si>
    <t xml:space="preserve">Подойдут ли копии или замены </t>
  </si>
  <si>
    <t xml:space="preserve">Какой год выпуска допустим </t>
  </si>
  <si>
    <t xml:space="preserve">Тендер </t>
  </si>
  <si>
    <t>Узнать статус тендера (выигран, не выигран, подготовка к тендеру (в этом случае мы отклоняем запрос))</t>
  </si>
  <si>
    <t>Обязательно берем таргеты</t>
  </si>
  <si>
    <t>Работа с КП</t>
  </si>
  <si>
    <t>После отправки КП клиенту, выясняем у него:</t>
  </si>
  <si>
    <t xml:space="preserve">Устроили цены </t>
  </si>
  <si>
    <t xml:space="preserve">Устроили сроки </t>
  </si>
  <si>
    <t>Обязательно спрашиваем: "Какой следущий наш шаг"?</t>
  </si>
  <si>
    <t xml:space="preserve">Выяснить срок оплаты </t>
  </si>
  <si>
    <t xml:space="preserve">Получить реквизиты </t>
  </si>
  <si>
    <t>Срок выставления счета</t>
  </si>
  <si>
    <t>Потребность в нашем договоре</t>
  </si>
  <si>
    <t>ДО отправления запроса в отдел закупок, выяснить у клиента:</t>
  </si>
  <si>
    <t>Вес, г</t>
  </si>
  <si>
    <t>Общая масса</t>
  </si>
  <si>
    <t>Срок гарантии на поставленный товар составляет:</t>
  </si>
  <si>
    <t xml:space="preserve">    На товар, произведенный не ранее 2014 г. - 12 месяцев</t>
  </si>
  <si>
    <t xml:space="preserve">    На товар, произведенный в 2012 г. - 2013 г. - 6 месяцев</t>
  </si>
  <si>
    <t xml:space="preserve">    На товар, произведенный в 2011 г. и ранее - 3 месяца</t>
  </si>
  <si>
    <t>компонент</t>
  </si>
  <si>
    <t>Разъем DRB-15FA 15pin  VPT  TSOP  15+</t>
  </si>
  <si>
    <t>компонент Разъем DRB-15FA 15pin  VPT  TSOP  15+</t>
  </si>
  <si>
    <t>Вавкин Евгений</t>
  </si>
  <si>
    <t>Алешина Екатерина</t>
  </si>
  <si>
    <t>Зяблицкий Евгений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</si>
</sst>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64" formatCode="#,##0.00&quot;р.&quot;;\-#,##0.00&quot;р.&quot;"/>
    <numFmt numFmtId="165" formatCode="[$$-409]#,##0.00"/>
    <numFmt numFmtId="166" formatCode="#,##0.00&quot;р.&quot;"/>
    <numFmt numFmtId="167" formatCode="#,##0.0000&quot;р.&quot;"/>
    <numFmt numFmtId="168" formatCode="[$-F800]dddd\,\ mmmm\ dd\,\ yyyy"/>
    <numFmt numFmtId="169" formatCode="#,##0&quot;р.&quot;"/>
    <numFmt numFmtId="170" formatCode="_-[$$-409]* #,##0.0000_ ;_-[$$-409]* \-#,##0.0000\ ;_-[$$-409]* &quot;-&quot;????_ ;_-@_ "/>
    <numFmt numFmtId="171" formatCode="[$$-409]#,##0.0000"/>
    <numFmt numFmtId="172" formatCode="#,##0.00&quot;₽&quot;"/>
    <numFmt numFmtId="173" formatCode="#,##0\ &quot;₽&quot;"/>
    <numFmt numFmtId="174" formatCode="#,##0.00\ &quot;₽&quot;"/>
    <numFmt numFmtId="175" formatCode="#,##0.0000\ &quot;₽&quot;"/>
  </numFmts>
  <fonts count="3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u/>
      <sz val="9.35"/>
      <color theme="10"/>
      <name val="Calibri"/>
      <family val="2"/>
    </font>
    <font>
      <u/>
      <sz val="12"/>
      <color theme="10"/>
      <name val="Calibri"/>
      <family val="2"/>
    </font>
    <font>
      <sz val="12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sz val="11"/>
      <color rgb="FF7030A0"/>
      <name val="Calibri"/>
      <family val="2"/>
      <charset val="204"/>
      <scheme val="minor"/>
    </font>
    <font>
      <sz val="8"/>
      <color indexed="81"/>
      <name val="Tahoma"/>
      <family val="2"/>
      <charset val="204"/>
    </font>
    <font>
      <b/>
      <sz val="8"/>
      <color indexed="81"/>
      <name val="Tahoma"/>
      <family val="2"/>
      <charset val="204"/>
    </font>
    <font>
      <sz val="11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color theme="1"/>
      <name val="Arial"/>
      <family val="2"/>
      <charset val="204"/>
    </font>
    <font>
      <sz val="12"/>
      <color theme="1"/>
      <name val="Arial"/>
      <family val="2"/>
      <charset val="204"/>
    </font>
    <font>
      <u/>
      <sz val="12"/>
      <color theme="10"/>
      <name val="Arial"/>
      <family val="2"/>
      <charset val="204"/>
    </font>
    <font>
      <sz val="14"/>
      <color theme="1"/>
      <name val="Arial"/>
      <family val="2"/>
      <charset val="204"/>
    </font>
    <font>
      <b/>
      <sz val="14"/>
      <color theme="1"/>
      <name val="Arial"/>
      <family val="2"/>
      <charset val="204"/>
    </font>
    <font>
      <b/>
      <sz val="14"/>
      <color indexed="30"/>
      <name val="Arial"/>
      <family val="2"/>
      <charset val="204"/>
    </font>
    <font>
      <b/>
      <sz val="11"/>
      <color theme="1"/>
      <name val="Arial"/>
      <family val="2"/>
      <charset val="204"/>
    </font>
    <font>
      <b/>
      <sz val="11"/>
      <color indexed="30"/>
      <name val="Arial"/>
      <family val="2"/>
      <charset val="204"/>
    </font>
    <font>
      <sz val="10"/>
      <color rgb="FF000000"/>
      <name val="Arial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rgb="FF555555"/>
      <name val="Times New Roman"/>
      <family val="1"/>
      <charset val="204"/>
    </font>
    <font>
      <sz val="11"/>
      <color rgb="FF333333"/>
      <name val="Times New Roman"/>
      <family val="1"/>
      <charset val="204"/>
    </font>
    <font>
      <sz val="11"/>
      <name val="Times New Roman"/>
      <family val="1"/>
      <charset val="204"/>
    </font>
    <font>
      <sz val="11"/>
      <color rgb="FF333333"/>
      <name val="Arial"/>
      <family val="2"/>
      <charset val="204"/>
    </font>
    <font>
      <sz val="11"/>
      <color rgb="FF000000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sz val="14"/>
      <color theme="1"/>
      <name val="Times New Roman"/>
      <family val="1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B7171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FF0000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44">
    <xf numFmtId="0" fontId="0" fillId="0" borderId="0" xfId="0"/>
    <xf numFmtId="0" fontId="0" fillId="0" borderId="1" xfId="0" applyBorder="1" applyAlignment="1">
      <alignment wrapText="1"/>
    </xf>
    <xf numFmtId="0" fontId="0" fillId="0" borderId="0" xfId="0" applyBorder="1"/>
    <xf numFmtId="0" fontId="1" fillId="0" borderId="0" xfId="0" applyFont="1" applyBorder="1" applyAlignment="1">
      <alignment horizontal="left" vertical="center"/>
    </xf>
    <xf numFmtId="0" fontId="1" fillId="0" borderId="0" xfId="0" applyFont="1" applyBorder="1" applyAlignment="1">
      <alignment horizontal="center" wrapText="1"/>
    </xf>
    <xf numFmtId="4" fontId="0" fillId="0" borderId="0" xfId="0" applyNumberFormat="1" applyBorder="1"/>
    <xf numFmtId="0" fontId="0" fillId="0" borderId="2" xfId="0" applyBorder="1" applyAlignment="1">
      <alignment horizontal="center" vertical="center" wrapText="1"/>
    </xf>
    <xf numFmtId="0" fontId="0" fillId="0" borderId="6" xfId="0" applyBorder="1" applyAlignment="1">
      <alignment wrapText="1"/>
    </xf>
    <xf numFmtId="9" fontId="0" fillId="4" borderId="1" xfId="0" applyNumberFormat="1" applyFill="1" applyBorder="1" applyAlignment="1">
      <alignment wrapText="1"/>
    </xf>
    <xf numFmtId="0" fontId="1" fillId="5" borderId="6" xfId="0" applyFont="1" applyFill="1" applyBorder="1" applyAlignment="1">
      <alignment horizontal="left" vertical="center"/>
    </xf>
    <xf numFmtId="0" fontId="1" fillId="5" borderId="8" xfId="0" applyFont="1" applyFill="1" applyBorder="1" applyAlignment="1">
      <alignment horizontal="left" vertical="center"/>
    </xf>
    <xf numFmtId="0" fontId="1" fillId="7" borderId="6" xfId="0" applyFont="1" applyFill="1" applyBorder="1"/>
    <xf numFmtId="0" fontId="1" fillId="7" borderId="6" xfId="0" applyFont="1" applyFill="1" applyBorder="1" applyAlignment="1">
      <alignment wrapText="1"/>
    </xf>
    <xf numFmtId="0" fontId="1" fillId="7" borderId="8" xfId="0" applyFont="1" applyFill="1" applyBorder="1" applyAlignment="1">
      <alignment wrapText="1"/>
    </xf>
    <xf numFmtId="4" fontId="0" fillId="7" borderId="9" xfId="0" applyNumberFormat="1" applyFill="1" applyBorder="1" applyAlignment="1">
      <alignment wrapText="1"/>
    </xf>
    <xf numFmtId="9" fontId="0" fillId="7" borderId="7" xfId="0" applyNumberFormat="1" applyFill="1" applyBorder="1"/>
    <xf numFmtId="166" fontId="0" fillId="4" borderId="1" xfId="0" applyNumberFormat="1" applyFill="1" applyBorder="1" applyAlignment="1">
      <alignment wrapText="1"/>
    </xf>
    <xf numFmtId="165" fontId="0" fillId="0" borderId="1" xfId="0" applyNumberFormat="1" applyBorder="1" applyAlignment="1">
      <alignment wrapText="1"/>
    </xf>
    <xf numFmtId="165" fontId="0" fillId="4" borderId="7" xfId="0" applyNumberFormat="1" applyFill="1" applyBorder="1" applyAlignment="1">
      <alignment wrapText="1"/>
    </xf>
    <xf numFmtId="166" fontId="0" fillId="5" borderId="7" xfId="0" applyNumberFormat="1" applyFill="1" applyBorder="1"/>
    <xf numFmtId="165" fontId="0" fillId="7" borderId="7" xfId="0" applyNumberFormat="1" applyFill="1" applyBorder="1"/>
    <xf numFmtId="165" fontId="0" fillId="7" borderId="7" xfId="0" applyNumberFormat="1" applyFill="1" applyBorder="1" applyAlignment="1">
      <alignment wrapText="1"/>
    </xf>
    <xf numFmtId="167" fontId="0" fillId="0" borderId="0" xfId="0" applyNumberFormat="1" applyBorder="1" applyAlignment="1">
      <alignment horizontal="center" vertical="center"/>
    </xf>
    <xf numFmtId="0" fontId="1" fillId="10" borderId="6" xfId="0" applyFont="1" applyFill="1" applyBorder="1" applyAlignment="1">
      <alignment horizontal="left" vertical="center"/>
    </xf>
    <xf numFmtId="165" fontId="0" fillId="10" borderId="7" xfId="0" applyNumberFormat="1" applyFill="1" applyBorder="1"/>
    <xf numFmtId="0" fontId="1" fillId="10" borderId="8" xfId="0" applyFont="1" applyFill="1" applyBorder="1" applyAlignment="1">
      <alignment horizontal="left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left"/>
    </xf>
    <xf numFmtId="0" fontId="0" fillId="0" borderId="1" xfId="0" applyBorder="1" applyAlignment="1">
      <alignment horizontal="center" wrapText="1"/>
    </xf>
    <xf numFmtId="0" fontId="2" fillId="9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9" fontId="0" fillId="10" borderId="9" xfId="0" applyNumberFormat="1" applyFill="1" applyBorder="1"/>
    <xf numFmtId="0" fontId="0" fillId="0" borderId="0" xfId="0" applyFill="1"/>
    <xf numFmtId="0" fontId="0" fillId="0" borderId="0" xfId="0" applyFill="1" applyBorder="1"/>
    <xf numFmtId="0" fontId="0" fillId="0" borderId="0" xfId="0" applyAlignment="1">
      <alignment vertical="center"/>
    </xf>
    <xf numFmtId="0" fontId="0" fillId="0" borderId="1" xfId="0" applyBorder="1" applyAlignment="1">
      <alignment horizontal="left"/>
    </xf>
    <xf numFmtId="0" fontId="0" fillId="0" borderId="7" xfId="0" applyBorder="1" applyAlignment="1">
      <alignment wrapText="1"/>
    </xf>
    <xf numFmtId="0" fontId="3" fillId="0" borderId="0" xfId="0" applyFont="1" applyAlignment="1">
      <alignment horizontal="left" vertical="center"/>
    </xf>
    <xf numFmtId="0" fontId="1" fillId="0" borderId="0" xfId="0" applyFont="1" applyFill="1" applyBorder="1" applyAlignment="1">
      <alignment horizontal="center" wrapText="1"/>
    </xf>
    <xf numFmtId="165" fontId="0" fillId="0" borderId="0" xfId="0" applyNumberFormat="1" applyFill="1" applyBorder="1"/>
    <xf numFmtId="9" fontId="0" fillId="0" borderId="0" xfId="0" applyNumberFormat="1" applyFill="1" applyBorder="1"/>
    <xf numFmtId="4" fontId="0" fillId="0" borderId="0" xfId="0" applyNumberFormat="1" applyFill="1" applyBorder="1"/>
    <xf numFmtId="166" fontId="0" fillId="0" borderId="0" xfId="0" applyNumberFormat="1" applyFill="1" applyBorder="1"/>
    <xf numFmtId="0" fontId="1" fillId="0" borderId="0" xfId="0" applyFont="1" applyFill="1" applyBorder="1" applyAlignment="1">
      <alignment horizontal="center" vertical="center"/>
    </xf>
    <xf numFmtId="165" fontId="0" fillId="0" borderId="0" xfId="0" applyNumberFormat="1" applyFill="1" applyBorder="1" applyAlignment="1">
      <alignment wrapText="1"/>
    </xf>
    <xf numFmtId="4" fontId="0" fillId="0" borderId="0" xfId="0" applyNumberFormat="1" applyFill="1" applyBorder="1" applyAlignment="1">
      <alignment wrapText="1"/>
    </xf>
    <xf numFmtId="0" fontId="0" fillId="0" borderId="0" xfId="0" applyFill="1" applyAlignment="1"/>
    <xf numFmtId="0" fontId="0" fillId="0" borderId="0" xfId="0" applyFill="1" applyAlignment="1">
      <alignment horizontal="center"/>
    </xf>
    <xf numFmtId="167" fontId="0" fillId="0" borderId="1" xfId="0" applyNumberFormat="1" applyFont="1" applyBorder="1" applyAlignment="1">
      <alignment horizontal="center" vertical="center"/>
    </xf>
    <xf numFmtId="0" fontId="6" fillId="0" borderId="0" xfId="0" applyFont="1" applyFill="1" applyAlignment="1">
      <alignment horizontal="right"/>
    </xf>
    <xf numFmtId="0" fontId="7" fillId="0" borderId="0" xfId="0" applyFont="1"/>
    <xf numFmtId="0" fontId="7" fillId="0" borderId="0" xfId="0" applyFont="1" applyFill="1" applyBorder="1" applyAlignment="1">
      <alignment horizontal="right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" fillId="0" borderId="0" xfId="0" applyFont="1" applyBorder="1" applyAlignment="1">
      <alignment vertical="center"/>
    </xf>
    <xf numFmtId="9" fontId="0" fillId="4" borderId="23" xfId="0" applyNumberFormat="1" applyFill="1" applyBorder="1"/>
    <xf numFmtId="0" fontId="1" fillId="0" borderId="31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1" fillId="3" borderId="32" xfId="0" applyFont="1" applyFill="1" applyBorder="1" applyAlignment="1">
      <alignment horizontal="center" vertical="center" wrapText="1"/>
    </xf>
    <xf numFmtId="0" fontId="1" fillId="3" borderId="33" xfId="0" applyFont="1" applyFill="1" applyBorder="1" applyAlignment="1">
      <alignment horizontal="center" vertical="center" wrapText="1"/>
    </xf>
    <xf numFmtId="0" fontId="1" fillId="4" borderId="32" xfId="0" applyFont="1" applyFill="1" applyBorder="1" applyAlignment="1">
      <alignment horizontal="center" vertical="center" wrapText="1"/>
    </xf>
    <xf numFmtId="0" fontId="1" fillId="4" borderId="34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right" vertical="center"/>
    </xf>
    <xf numFmtId="9" fontId="0" fillId="5" borderId="9" xfId="0" applyNumberFormat="1" applyFill="1" applyBorder="1"/>
    <xf numFmtId="0" fontId="0" fillId="0" borderId="1" xfId="0" applyBorder="1" applyAlignment="1">
      <alignment horizontal="center"/>
    </xf>
    <xf numFmtId="169" fontId="0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 vertical="center"/>
    </xf>
    <xf numFmtId="165" fontId="0" fillId="4" borderId="13" xfId="0" applyNumberFormat="1" applyFill="1" applyBorder="1"/>
    <xf numFmtId="0" fontId="0" fillId="15" borderId="0" xfId="0" applyFill="1" applyAlignment="1">
      <alignment horizontal="center" vertical="center"/>
    </xf>
    <xf numFmtId="0" fontId="1" fillId="2" borderId="38" xfId="0" applyFont="1" applyFill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 wrapText="1"/>
    </xf>
    <xf numFmtId="0" fontId="1" fillId="0" borderId="39" xfId="0" applyFont="1" applyBorder="1" applyAlignment="1">
      <alignment horizontal="center" vertical="center" wrapText="1"/>
    </xf>
    <xf numFmtId="0" fontId="1" fillId="3" borderId="39" xfId="0" applyFont="1" applyFill="1" applyBorder="1" applyAlignment="1">
      <alignment horizontal="center" vertical="center" wrapText="1"/>
    </xf>
    <xf numFmtId="0" fontId="1" fillId="0" borderId="39" xfId="0" applyFont="1" applyFill="1" applyBorder="1" applyAlignment="1">
      <alignment horizontal="center" vertical="center" wrapText="1"/>
    </xf>
    <xf numFmtId="0" fontId="1" fillId="4" borderId="39" xfId="0" applyFont="1" applyFill="1" applyBorder="1" applyAlignment="1">
      <alignment horizontal="center" vertical="center" wrapText="1"/>
    </xf>
    <xf numFmtId="0" fontId="1" fillId="4" borderId="38" xfId="0" applyFont="1" applyFill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 wrapText="1"/>
    </xf>
    <xf numFmtId="0" fontId="1" fillId="0" borderId="34" xfId="0" applyFont="1" applyFill="1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1" fillId="2" borderId="31" xfId="0" applyFont="1" applyFill="1" applyBorder="1" applyAlignment="1">
      <alignment horizontal="center" vertical="center" wrapText="1"/>
    </xf>
    <xf numFmtId="0" fontId="1" fillId="0" borderId="41" xfId="0" applyFont="1" applyBorder="1" applyAlignment="1">
      <alignment horizontal="center" vertical="center" wrapText="1"/>
    </xf>
    <xf numFmtId="0" fontId="1" fillId="2" borderId="34" xfId="0" applyFont="1" applyFill="1" applyBorder="1" applyAlignment="1">
      <alignment horizontal="center" vertical="center" wrapText="1"/>
    </xf>
    <xf numFmtId="165" fontId="0" fillId="0" borderId="24" xfId="0" applyNumberFormat="1" applyBorder="1" applyAlignment="1">
      <alignment horizontal="right" vertical="center"/>
    </xf>
    <xf numFmtId="0" fontId="9" fillId="0" borderId="1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9" fillId="0" borderId="3" xfId="0" applyFont="1" applyBorder="1" applyAlignment="1">
      <alignment wrapText="1"/>
    </xf>
    <xf numFmtId="0" fontId="1" fillId="12" borderId="42" xfId="0" applyFont="1" applyFill="1" applyBorder="1" applyAlignment="1">
      <alignment horizontal="center" vertical="center" wrapText="1"/>
    </xf>
    <xf numFmtId="0" fontId="0" fillId="12" borderId="42" xfId="0" applyFill="1" applyBorder="1" applyAlignment="1">
      <alignment horizontal="center" vertical="center" wrapText="1"/>
    </xf>
    <xf numFmtId="168" fontId="0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/>
    </xf>
    <xf numFmtId="0" fontId="7" fillId="0" borderId="0" xfId="0" applyFont="1" applyAlignment="1">
      <alignment horizontal="right" vertical="center"/>
    </xf>
    <xf numFmtId="0" fontId="0" fillId="0" borderId="0" xfId="0" applyNumberFormat="1" applyBorder="1"/>
    <xf numFmtId="0" fontId="0" fillId="0" borderId="0" xfId="0" applyNumberFormat="1" applyFon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left"/>
    </xf>
    <xf numFmtId="0" fontId="0" fillId="0" borderId="0" xfId="0" applyNumberFormat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center" vertical="center"/>
    </xf>
    <xf numFmtId="0" fontId="0" fillId="0" borderId="0" xfId="0" applyNumberFormat="1" applyBorder="1" applyAlignment="1">
      <alignment wrapText="1"/>
    </xf>
    <xf numFmtId="0" fontId="0" fillId="0" borderId="6" xfId="0" applyBorder="1" applyAlignment="1">
      <alignment horizontal="right"/>
    </xf>
    <xf numFmtId="0" fontId="0" fillId="0" borderId="1" xfId="0" applyBorder="1" applyAlignment="1">
      <alignment horizontal="right"/>
    </xf>
    <xf numFmtId="0" fontId="1" fillId="0" borderId="32" xfId="0" applyFont="1" applyFill="1" applyBorder="1" applyAlignment="1">
      <alignment horizontal="center" vertical="center" wrapText="1"/>
    </xf>
    <xf numFmtId="0" fontId="1" fillId="0" borderId="43" xfId="0" applyFont="1" applyFill="1" applyBorder="1" applyAlignment="1">
      <alignment horizontal="center" vertical="center" wrapText="1"/>
    </xf>
    <xf numFmtId="165" fontId="0" fillId="0" borderId="19" xfId="0" applyNumberFormat="1" applyBorder="1" applyAlignment="1">
      <alignment horizontal="right" vertical="center"/>
    </xf>
    <xf numFmtId="9" fontId="0" fillId="0" borderId="18" xfId="0" applyNumberFormat="1" applyBorder="1" applyAlignment="1">
      <alignment horizontal="right" vertical="center"/>
    </xf>
    <xf numFmtId="9" fontId="0" fillId="0" borderId="9" xfId="0" applyNumberFormat="1" applyBorder="1" applyAlignment="1">
      <alignment horizontal="right" vertical="center"/>
    </xf>
    <xf numFmtId="0" fontId="0" fillId="0" borderId="6" xfId="0" applyBorder="1" applyAlignment="1">
      <alignment horizontal="left" vertical="center"/>
    </xf>
    <xf numFmtId="165" fontId="0" fillId="0" borderId="7" xfId="0" applyNumberFormat="1" applyBorder="1" applyAlignment="1">
      <alignment horizontal="right" vertical="center"/>
    </xf>
    <xf numFmtId="0" fontId="0" fillId="0" borderId="8" xfId="0" applyBorder="1" applyAlignment="1">
      <alignment horizontal="left" vertical="center"/>
    </xf>
    <xf numFmtId="0" fontId="7" fillId="0" borderId="21" xfId="0" applyFont="1" applyBorder="1" applyAlignment="1">
      <alignment horizontal="right"/>
    </xf>
    <xf numFmtId="0" fontId="7" fillId="0" borderId="29" xfId="0" applyFont="1" applyBorder="1" applyAlignment="1">
      <alignment horizontal="center"/>
    </xf>
    <xf numFmtId="0" fontId="1" fillId="2" borderId="14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9" fillId="0" borderId="6" xfId="0" applyFont="1" applyBorder="1" applyAlignment="1">
      <alignment wrapText="1"/>
    </xf>
    <xf numFmtId="0" fontId="9" fillId="0" borderId="7" xfId="0" applyFont="1" applyBorder="1" applyAlignment="1">
      <alignment horizontal="center" vertical="center" wrapText="1"/>
    </xf>
    <xf numFmtId="0" fontId="1" fillId="0" borderId="44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 wrapText="1"/>
    </xf>
    <xf numFmtId="0" fontId="1" fillId="0" borderId="44" xfId="0" applyFont="1" applyFill="1" applyBorder="1" applyAlignment="1">
      <alignment horizontal="center" vertical="center" wrapText="1"/>
    </xf>
    <xf numFmtId="170" fontId="0" fillId="0" borderId="0" xfId="0" applyNumberFormat="1"/>
    <xf numFmtId="0" fontId="0" fillId="0" borderId="28" xfId="0" applyBorder="1" applyAlignment="1">
      <alignment horizontal="left" vertical="center"/>
    </xf>
    <xf numFmtId="0" fontId="0" fillId="0" borderId="45" xfId="0" applyBorder="1" applyAlignment="1">
      <alignment horizontal="center" vertical="center"/>
    </xf>
    <xf numFmtId="165" fontId="0" fillId="0" borderId="45" xfId="0" applyNumberFormat="1" applyBorder="1" applyAlignment="1">
      <alignment horizontal="right" vertical="center"/>
    </xf>
    <xf numFmtId="165" fontId="0" fillId="0" borderId="28" xfId="0" applyNumberFormat="1" applyBorder="1" applyAlignment="1">
      <alignment horizontal="right" vertical="center"/>
    </xf>
    <xf numFmtId="9" fontId="0" fillId="0" borderId="23" xfId="0" applyNumberFormat="1" applyBorder="1" applyAlignment="1">
      <alignment horizontal="right" vertical="center"/>
    </xf>
    <xf numFmtId="9" fontId="0" fillId="0" borderId="45" xfId="0" applyNumberFormat="1" applyBorder="1" applyAlignment="1">
      <alignment horizontal="right" vertical="center"/>
    </xf>
    <xf numFmtId="0" fontId="0" fillId="0" borderId="2" xfId="0" applyFill="1" applyBorder="1" applyAlignment="1">
      <alignment horizontal="left"/>
    </xf>
    <xf numFmtId="0" fontId="0" fillId="0" borderId="1" xfId="0" applyBorder="1"/>
    <xf numFmtId="0" fontId="0" fillId="0" borderId="1" xfId="0" applyFill="1" applyBorder="1" applyAlignment="1">
      <alignment horizontal="left"/>
    </xf>
    <xf numFmtId="0" fontId="0" fillId="0" borderId="14" xfId="0" applyBorder="1"/>
    <xf numFmtId="0" fontId="0" fillId="0" borderId="15" xfId="0" applyBorder="1" applyAlignment="1">
      <alignment horizontal="center"/>
    </xf>
    <xf numFmtId="0" fontId="0" fillId="0" borderId="8" xfId="0" applyBorder="1"/>
    <xf numFmtId="0" fontId="0" fillId="0" borderId="9" xfId="0" applyBorder="1" applyAlignment="1">
      <alignment horizontal="center"/>
    </xf>
    <xf numFmtId="165" fontId="0" fillId="0" borderId="23" xfId="0" applyNumberFormat="1" applyBorder="1" applyAlignment="1">
      <alignment horizontal="right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vertical="center" wrapText="1"/>
    </xf>
    <xf numFmtId="0" fontId="0" fillId="0" borderId="1" xfId="0" applyBorder="1" applyAlignment="1">
      <alignment horizontal="right" vertical="center" wrapText="1"/>
    </xf>
    <xf numFmtId="0" fontId="11" fillId="0" borderId="1" xfId="0" applyFont="1" applyFill="1" applyBorder="1" applyAlignment="1">
      <alignment horizontal="right" vertical="center" wrapText="1"/>
    </xf>
    <xf numFmtId="164" fontId="0" fillId="0" borderId="1" xfId="0" applyNumberFormat="1" applyBorder="1" applyAlignment="1">
      <alignment horizontal="right" vertical="center" wrapText="1"/>
    </xf>
    <xf numFmtId="166" fontId="0" fillId="0" borderId="1" xfId="0" applyNumberFormat="1" applyFill="1" applyBorder="1" applyAlignment="1">
      <alignment horizontal="right" vertical="center" wrapText="1"/>
    </xf>
    <xf numFmtId="49" fontId="0" fillId="0" borderId="1" xfId="0" applyNumberFormat="1" applyBorder="1" applyAlignment="1">
      <alignment horizontal="left" vertical="center" wrapText="1"/>
    </xf>
    <xf numFmtId="14" fontId="0" fillId="0" borderId="1" xfId="0" applyNumberFormat="1" applyBorder="1" applyAlignment="1">
      <alignment horizontal="center" vertical="center" wrapText="1"/>
    </xf>
    <xf numFmtId="171" fontId="0" fillId="0" borderId="45" xfId="0" applyNumberFormat="1" applyBorder="1" applyAlignment="1">
      <alignment horizontal="right" vertical="center"/>
    </xf>
    <xf numFmtId="0" fontId="0" fillId="0" borderId="45" xfId="0" applyBorder="1" applyAlignment="1">
      <alignment horizontal="left" vertical="center"/>
    </xf>
    <xf numFmtId="0" fontId="0" fillId="0" borderId="23" xfId="0" applyBorder="1"/>
    <xf numFmtId="172" fontId="0" fillId="0" borderId="18" xfId="0" applyNumberFormat="1" applyBorder="1" applyAlignment="1">
      <alignment horizontal="right" vertical="center"/>
    </xf>
    <xf numFmtId="172" fontId="0" fillId="0" borderId="45" xfId="0" applyNumberFormat="1" applyBorder="1" applyAlignment="1">
      <alignment horizontal="right" vertical="center"/>
    </xf>
    <xf numFmtId="172" fontId="0" fillId="0" borderId="19" xfId="0" applyNumberFormat="1" applyBorder="1" applyAlignment="1">
      <alignment horizontal="right" vertical="center"/>
    </xf>
    <xf numFmtId="172" fontId="0" fillId="0" borderId="7" xfId="0" applyNumberFormat="1" applyBorder="1" applyAlignment="1">
      <alignment horizontal="right" vertical="center"/>
    </xf>
    <xf numFmtId="0" fontId="2" fillId="9" borderId="0" xfId="0" applyFont="1" applyFill="1" applyBorder="1" applyAlignment="1">
      <alignment horizontal="center" vertical="center"/>
    </xf>
    <xf numFmtId="173" fontId="0" fillId="4" borderId="1" xfId="0" applyNumberFormat="1" applyFill="1" applyBorder="1" applyAlignment="1">
      <alignment wrapText="1"/>
    </xf>
    <xf numFmtId="9" fontId="0" fillId="4" borderId="22" xfId="0" applyNumberFormat="1" applyFill="1" applyBorder="1" applyAlignment="1">
      <alignment wrapText="1"/>
    </xf>
    <xf numFmtId="173" fontId="0" fillId="4" borderId="23" xfId="0" applyNumberFormat="1" applyFill="1" applyBorder="1" applyAlignment="1">
      <alignment wrapText="1"/>
    </xf>
    <xf numFmtId="0" fontId="0" fillId="0" borderId="13" xfId="0" applyBorder="1" applyAlignment="1">
      <alignment horizontal="center"/>
    </xf>
    <xf numFmtId="174" fontId="0" fillId="4" borderId="1" xfId="0" applyNumberFormat="1" applyFill="1" applyBorder="1" applyAlignment="1">
      <alignment wrapText="1"/>
    </xf>
    <xf numFmtId="174" fontId="0" fillId="4" borderId="22" xfId="0" applyNumberFormat="1" applyFill="1" applyBorder="1" applyAlignment="1">
      <alignment wrapText="1"/>
    </xf>
    <xf numFmtId="174" fontId="0" fillId="3" borderId="1" xfId="0" applyNumberFormat="1" applyFill="1" applyBorder="1" applyAlignment="1">
      <alignment wrapText="1"/>
    </xf>
    <xf numFmtId="174" fontId="0" fillId="3" borderId="23" xfId="0" applyNumberFormat="1" applyFill="1" applyBorder="1" applyAlignment="1">
      <alignment wrapText="1"/>
    </xf>
    <xf numFmtId="174" fontId="0" fillId="4" borderId="21" xfId="0" applyNumberFormat="1" applyFill="1" applyBorder="1"/>
    <xf numFmtId="165" fontId="0" fillId="0" borderId="1" xfId="0" applyNumberFormat="1" applyBorder="1" applyAlignment="1">
      <alignment horizontal="center"/>
    </xf>
    <xf numFmtId="173" fontId="0" fillId="0" borderId="1" xfId="0" applyNumberFormat="1" applyBorder="1" applyAlignment="1">
      <alignment horizontal="center"/>
    </xf>
    <xf numFmtId="0" fontId="1" fillId="0" borderId="21" xfId="0" applyFont="1" applyBorder="1" applyAlignment="1">
      <alignment horizontal="center" vertical="center" wrapText="1"/>
    </xf>
    <xf numFmtId="0" fontId="1" fillId="0" borderId="23" xfId="0" applyFont="1" applyFill="1" applyBorder="1" applyAlignment="1">
      <alignment horizontal="center" vertical="center" wrapText="1"/>
    </xf>
    <xf numFmtId="0" fontId="2" fillId="13" borderId="0" xfId="0" applyFont="1" applyFill="1" applyBorder="1" applyAlignment="1">
      <alignment vertical="center"/>
    </xf>
    <xf numFmtId="0" fontId="1" fillId="0" borderId="22" xfId="0" applyFont="1" applyBorder="1" applyAlignment="1">
      <alignment horizontal="center" vertical="center" wrapText="1"/>
    </xf>
    <xf numFmtId="0" fontId="1" fillId="2" borderId="22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/>
    </xf>
    <xf numFmtId="165" fontId="0" fillId="0" borderId="22" xfId="0" applyNumberFormat="1" applyBorder="1" applyAlignment="1">
      <alignment horizontal="right" vertical="center"/>
    </xf>
    <xf numFmtId="0" fontId="0" fillId="0" borderId="13" xfId="0" applyBorder="1"/>
    <xf numFmtId="0" fontId="1" fillId="0" borderId="46" xfId="0" applyFont="1" applyBorder="1" applyAlignment="1">
      <alignment horizontal="center" vertical="center" wrapText="1"/>
    </xf>
    <xf numFmtId="0" fontId="1" fillId="0" borderId="22" xfId="0" applyFont="1" applyFill="1" applyBorder="1" applyAlignment="1">
      <alignment horizontal="center" vertical="center" wrapText="1"/>
    </xf>
    <xf numFmtId="0" fontId="0" fillId="0" borderId="46" xfId="0" applyBorder="1"/>
    <xf numFmtId="0" fontId="2" fillId="13" borderId="0" xfId="0" applyFont="1" applyFill="1" applyBorder="1" applyAlignment="1">
      <alignment horizontal="center" vertical="center"/>
    </xf>
    <xf numFmtId="0" fontId="14" fillId="0" borderId="28" xfId="0" applyFont="1" applyBorder="1" applyAlignment="1">
      <alignment horizontal="left" vertical="center"/>
    </xf>
    <xf numFmtId="0" fontId="0" fillId="0" borderId="0" xfId="0" applyFill="1" applyAlignment="1">
      <alignment horizontal="center"/>
    </xf>
    <xf numFmtId="0" fontId="3" fillId="0" borderId="0" xfId="0" applyFont="1" applyAlignment="1">
      <alignment horizontal="left" vertical="center"/>
    </xf>
    <xf numFmtId="175" fontId="0" fillId="0" borderId="1" xfId="0" applyNumberFormat="1" applyFont="1" applyBorder="1" applyAlignment="1">
      <alignment horizontal="center" vertical="center"/>
    </xf>
    <xf numFmtId="175" fontId="0" fillId="6" borderId="1" xfId="0" applyNumberFormat="1" applyFill="1" applyBorder="1" applyAlignment="1">
      <alignment horizontal="center" vertical="center"/>
    </xf>
    <xf numFmtId="175" fontId="0" fillId="0" borderId="1" xfId="0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right"/>
    </xf>
    <xf numFmtId="14" fontId="0" fillId="0" borderId="23" xfId="0" applyNumberFormat="1" applyBorder="1" applyAlignment="1">
      <alignment horizontal="center" vertical="center"/>
    </xf>
    <xf numFmtId="0" fontId="17" fillId="0" borderId="0" xfId="0" applyFont="1" applyAlignment="1">
      <alignment wrapText="1"/>
    </xf>
    <xf numFmtId="0" fontId="17" fillId="8" borderId="0" xfId="0" applyFont="1" applyFill="1" applyAlignment="1">
      <alignment wrapText="1"/>
    </xf>
    <xf numFmtId="0" fontId="17" fillId="16" borderId="0" xfId="0" applyFont="1" applyFill="1" applyAlignment="1">
      <alignment wrapText="1"/>
    </xf>
    <xf numFmtId="168" fontId="17" fillId="0" borderId="0" xfId="0" applyNumberFormat="1" applyFont="1" applyAlignment="1">
      <alignment wrapText="1"/>
    </xf>
    <xf numFmtId="0" fontId="20" fillId="0" borderId="0" xfId="0" applyFont="1" applyAlignment="1">
      <alignment horizontal="right" vertical="center" wrapText="1"/>
    </xf>
    <xf numFmtId="0" fontId="20" fillId="0" borderId="0" xfId="0" applyFont="1" applyAlignment="1">
      <alignment horizontal="right" wrapText="1"/>
    </xf>
    <xf numFmtId="14" fontId="17" fillId="0" borderId="0" xfId="0" applyNumberFormat="1" applyFont="1" applyAlignment="1">
      <alignment wrapText="1"/>
    </xf>
    <xf numFmtId="0" fontId="17" fillId="0" borderId="0" xfId="0" applyFont="1" applyAlignment="1">
      <alignment horizontal="center" vertical="center" wrapText="1"/>
    </xf>
    <xf numFmtId="0" fontId="23" fillId="0" borderId="39" xfId="0" applyFont="1" applyBorder="1" applyAlignment="1">
      <alignment horizontal="center" vertical="center" wrapText="1"/>
    </xf>
    <xf numFmtId="0" fontId="23" fillId="0" borderId="47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25" fillId="0" borderId="1" xfId="0" applyFont="1" applyBorder="1" applyAlignment="1"/>
    <xf numFmtId="0" fontId="25" fillId="0" borderId="1" xfId="0" applyFont="1" applyBorder="1" applyAlignment="1">
      <alignment horizontal="center"/>
    </xf>
    <xf numFmtId="0" fontId="17" fillId="0" borderId="1" xfId="0" applyFont="1" applyBorder="1" applyAlignment="1">
      <alignment wrapText="1"/>
    </xf>
    <xf numFmtId="0" fontId="17" fillId="0" borderId="0" xfId="0" applyFont="1"/>
    <xf numFmtId="14" fontId="17" fillId="0" borderId="0" xfId="0" applyNumberFormat="1" applyFont="1"/>
    <xf numFmtId="0" fontId="9" fillId="0" borderId="0" xfId="0" applyFont="1"/>
    <xf numFmtId="0" fontId="1" fillId="0" borderId="53" xfId="0" applyFont="1" applyBorder="1" applyAlignment="1">
      <alignment horizontal="center" vertical="center" wrapText="1"/>
    </xf>
    <xf numFmtId="0" fontId="1" fillId="0" borderId="54" xfId="0" applyFont="1" applyBorder="1" applyAlignment="1">
      <alignment horizontal="center" vertical="center" wrapText="1"/>
    </xf>
    <xf numFmtId="0" fontId="1" fillId="2" borderId="54" xfId="0" applyFont="1" applyFill="1" applyBorder="1" applyAlignment="1">
      <alignment horizontal="center" vertical="center" wrapText="1"/>
    </xf>
    <xf numFmtId="0" fontId="1" fillId="0" borderId="52" xfId="0" applyFont="1" applyBorder="1" applyAlignment="1">
      <alignment horizontal="center" vertical="center" wrapText="1"/>
    </xf>
    <xf numFmtId="0" fontId="26" fillId="0" borderId="28" xfId="0" applyFont="1" applyBorder="1" applyAlignment="1">
      <alignment horizontal="left" vertical="center"/>
    </xf>
    <xf numFmtId="0" fontId="26" fillId="0" borderId="45" xfId="0" applyFont="1" applyBorder="1" applyAlignment="1">
      <alignment horizontal="center" vertical="center"/>
    </xf>
    <xf numFmtId="0" fontId="2" fillId="12" borderId="55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 wrapText="1"/>
    </xf>
    <xf numFmtId="0" fontId="17" fillId="0" borderId="1" xfId="0" applyFont="1" applyBorder="1"/>
    <xf numFmtId="49" fontId="27" fillId="0" borderId="1" xfId="0" applyNumberFormat="1" applyFont="1" applyBorder="1" applyAlignment="1">
      <alignment horizontal="left"/>
    </xf>
    <xf numFmtId="0" fontId="29" fillId="0" borderId="1" xfId="0" applyNumberFormat="1" applyFont="1" applyBorder="1" applyAlignment="1">
      <alignment horizontal="center"/>
    </xf>
    <xf numFmtId="0" fontId="27" fillId="0" borderId="1" xfId="0" applyNumberFormat="1" applyFont="1" applyBorder="1" applyAlignment="1">
      <alignment horizontal="center"/>
    </xf>
    <xf numFmtId="0" fontId="30" fillId="0" borderId="1" xfId="0" applyNumberFormat="1" applyFont="1" applyBorder="1" applyAlignment="1">
      <alignment horizontal="center"/>
    </xf>
    <xf numFmtId="0" fontId="28" fillId="0" borderId="1" xfId="0" applyNumberFormat="1" applyFont="1" applyBorder="1" applyAlignment="1">
      <alignment horizontal="center"/>
    </xf>
    <xf numFmtId="0" fontId="17" fillId="0" borderId="0" xfId="0" applyNumberFormat="1" applyFont="1" applyAlignment="1">
      <alignment horizontal="center" wrapText="1"/>
    </xf>
    <xf numFmtId="0" fontId="17" fillId="0" borderId="0" xfId="0" applyNumberFormat="1" applyFont="1" applyAlignment="1">
      <alignment horizontal="center"/>
    </xf>
    <xf numFmtId="0" fontId="31" fillId="0" borderId="1" xfId="0" applyNumberFormat="1" applyFont="1" applyBorder="1" applyAlignment="1">
      <alignment horizontal="center"/>
    </xf>
    <xf numFmtId="0" fontId="32" fillId="0" borderId="1" xfId="0" applyNumberFormat="1" applyFont="1" applyBorder="1" applyAlignment="1">
      <alignment horizontal="center"/>
    </xf>
    <xf numFmtId="49" fontId="27" fillId="0" borderId="1" xfId="0" applyNumberFormat="1" applyFont="1" applyBorder="1"/>
    <xf numFmtId="0" fontId="6" fillId="0" borderId="0" xfId="0" applyFont="1"/>
    <xf numFmtId="0" fontId="33" fillId="0" borderId="0" xfId="0" applyFont="1" applyAlignment="1">
      <alignment horizontal="left" wrapText="1"/>
    </xf>
    <xf numFmtId="0" fontId="0" fillId="0" borderId="0" xfId="0" applyAlignment="1">
      <alignment horizontal="center"/>
    </xf>
    <xf numFmtId="0" fontId="34" fillId="0" borderId="57" xfId="0" applyFont="1" applyBorder="1" applyAlignment="1">
      <alignment horizontal="center" wrapText="1"/>
    </xf>
    <xf numFmtId="0" fontId="10" fillId="0" borderId="1" xfId="0" applyFont="1" applyBorder="1" applyAlignment="1">
      <alignment horizontal="center"/>
    </xf>
    <xf numFmtId="0" fontId="9" fillId="0" borderId="1" xfId="0" applyFont="1" applyBorder="1" applyAlignment="1">
      <alignment horizontal="left" wrapText="1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left" wrapText="1"/>
    </xf>
    <xf numFmtId="0" fontId="0" fillId="0" borderId="0" xfId="0" applyAlignment="1">
      <alignment horizontal="center" wrapText="1"/>
    </xf>
    <xf numFmtId="0" fontId="27" fillId="0" borderId="0" xfId="0" applyFont="1" applyAlignment="1">
      <alignment horizontal="left" wrapText="1"/>
    </xf>
    <xf numFmtId="0" fontId="34" fillId="0" borderId="57" xfId="0" applyFont="1" applyBorder="1" applyAlignment="1">
      <alignment horizontal="left" wrapText="1"/>
    </xf>
    <xf numFmtId="171" fontId="0" fillId="0" borderId="1" xfId="0" applyNumberFormat="1" applyBorder="1" applyAlignment="1">
      <alignment wrapText="1"/>
    </xf>
    <xf numFmtId="171" fontId="0" fillId="3" borderId="1" xfId="0" applyNumberFormat="1" applyFill="1" applyBorder="1" applyAlignment="1">
      <alignment wrapText="1"/>
    </xf>
    <xf numFmtId="171" fontId="0" fillId="3" borderId="21" xfId="0" applyNumberFormat="1" applyFill="1" applyBorder="1" applyAlignment="1">
      <alignment wrapText="1"/>
    </xf>
    <xf numFmtId="171" fontId="0" fillId="0" borderId="6" xfId="0" applyNumberFormat="1" applyBorder="1" applyAlignment="1">
      <alignment wrapText="1"/>
    </xf>
    <xf numFmtId="171" fontId="0" fillId="4" borderId="1" xfId="0" applyNumberFormat="1" applyFill="1" applyBorder="1" applyAlignment="1">
      <alignment wrapText="1"/>
    </xf>
    <xf numFmtId="171" fontId="0" fillId="4" borderId="21" xfId="0" applyNumberFormat="1" applyFill="1" applyBorder="1"/>
    <xf numFmtId="0" fontId="0" fillId="0" borderId="2" xfId="0" applyBorder="1" applyAlignment="1">
      <alignment horizontal="right"/>
    </xf>
    <xf numFmtId="0" fontId="1" fillId="0" borderId="14" xfId="0" applyFont="1" applyFill="1" applyBorder="1" applyAlignment="1">
      <alignment horizontal="center" vertical="center" wrapText="1"/>
    </xf>
    <xf numFmtId="0" fontId="1" fillId="0" borderId="58" xfId="0" applyFont="1" applyFill="1" applyBorder="1" applyAlignment="1">
      <alignment horizontal="center" vertical="center" wrapText="1"/>
    </xf>
    <xf numFmtId="0" fontId="1" fillId="0" borderId="47" xfId="0" applyFont="1" applyFill="1" applyBorder="1" applyAlignment="1">
      <alignment horizontal="center" vertical="center" wrapText="1"/>
    </xf>
    <xf numFmtId="0" fontId="1" fillId="0" borderId="15" xfId="0" applyFont="1" applyFill="1" applyBorder="1" applyAlignment="1">
      <alignment horizontal="center" vertical="center" wrapText="1"/>
    </xf>
    <xf numFmtId="0" fontId="0" fillId="0" borderId="13" xfId="0" applyFill="1" applyBorder="1"/>
    <xf numFmtId="2" fontId="0" fillId="0" borderId="1" xfId="0" applyNumberFormat="1" applyBorder="1"/>
    <xf numFmtId="2" fontId="0" fillId="0" borderId="7" xfId="0" applyNumberFormat="1" applyBorder="1"/>
    <xf numFmtId="2" fontId="0" fillId="0" borderId="59" xfId="0" applyNumberFormat="1" applyBorder="1"/>
    <xf numFmtId="0" fontId="0" fillId="0" borderId="28" xfId="0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3" fillId="0" borderId="0" xfId="0" applyFont="1" applyAlignment="1">
      <alignment horizontal="left" vertical="center"/>
    </xf>
    <xf numFmtId="0" fontId="21" fillId="0" borderId="28" xfId="0" applyFont="1" applyBorder="1" applyAlignment="1">
      <alignment horizontal="center" vertical="center" wrapText="1"/>
    </xf>
    <xf numFmtId="0" fontId="21" fillId="0" borderId="30" xfId="0" applyFont="1" applyBorder="1" applyAlignment="1">
      <alignment horizontal="center" vertical="center" wrapText="1"/>
    </xf>
    <xf numFmtId="0" fontId="21" fillId="0" borderId="29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19" fillId="0" borderId="0" xfId="1" applyFont="1" applyAlignment="1" applyProtection="1">
      <alignment horizontal="left" vertical="center" wrapText="1"/>
    </xf>
    <xf numFmtId="49" fontId="18" fillId="0" borderId="0" xfId="0" applyNumberFormat="1" applyFont="1" applyAlignment="1">
      <alignment horizontal="left" vertical="center" wrapText="1"/>
    </xf>
    <xf numFmtId="0" fontId="21" fillId="0" borderId="28" xfId="0" applyFont="1" applyBorder="1" applyAlignment="1">
      <alignment horizontal="left" vertical="center" wrapText="1"/>
    </xf>
    <xf numFmtId="0" fontId="21" fillId="0" borderId="29" xfId="0" applyFont="1" applyBorder="1" applyAlignment="1">
      <alignment horizontal="left" vertical="center" wrapText="1"/>
    </xf>
    <xf numFmtId="168" fontId="21" fillId="0" borderId="28" xfId="0" applyNumberFormat="1" applyFont="1" applyBorder="1" applyAlignment="1">
      <alignment horizontal="left" vertical="center" wrapText="1"/>
    </xf>
    <xf numFmtId="168" fontId="21" fillId="0" borderId="29" xfId="0" applyNumberFormat="1" applyFont="1" applyBorder="1" applyAlignment="1">
      <alignment horizontal="left" vertical="center" wrapText="1"/>
    </xf>
    <xf numFmtId="0" fontId="0" fillId="0" borderId="0" xfId="0" applyFill="1" applyAlignment="1">
      <alignment horizontal="center"/>
    </xf>
    <xf numFmtId="0" fontId="0" fillId="0" borderId="1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5" fillId="0" borderId="0" xfId="1" applyFont="1" applyAlignment="1" applyProtection="1">
      <alignment horizontal="left" vertical="center"/>
    </xf>
    <xf numFmtId="0" fontId="5" fillId="0" borderId="20" xfId="1" applyFont="1" applyBorder="1" applyAlignment="1" applyProtection="1">
      <alignment horizontal="left" vertical="center"/>
    </xf>
    <xf numFmtId="49" fontId="3" fillId="0" borderId="0" xfId="0" applyNumberFormat="1" applyFont="1" applyAlignment="1">
      <alignment horizontal="left" vertical="center"/>
    </xf>
    <xf numFmtId="0" fontId="7" fillId="0" borderId="21" xfId="0" applyFont="1" applyBorder="1" applyAlignment="1">
      <alignment horizontal="left" vertical="center"/>
    </xf>
    <xf numFmtId="0" fontId="7" fillId="0" borderId="22" xfId="0" applyFont="1" applyBorder="1" applyAlignment="1">
      <alignment horizontal="left" vertical="center"/>
    </xf>
    <xf numFmtId="0" fontId="7" fillId="0" borderId="23" xfId="0" applyFont="1" applyBorder="1" applyAlignment="1">
      <alignment horizontal="left" vertical="center"/>
    </xf>
    <xf numFmtId="0" fontId="1" fillId="7" borderId="4" xfId="0" applyFont="1" applyFill="1" applyBorder="1" applyAlignment="1">
      <alignment horizontal="center" vertical="center"/>
    </xf>
    <xf numFmtId="0" fontId="1" fillId="7" borderId="5" xfId="0" applyFont="1" applyFill="1" applyBorder="1" applyAlignment="1">
      <alignment horizontal="center" vertical="center"/>
    </xf>
    <xf numFmtId="0" fontId="1" fillId="10" borderId="4" xfId="0" applyFont="1" applyFill="1" applyBorder="1" applyAlignment="1">
      <alignment horizontal="center" wrapText="1"/>
    </xf>
    <xf numFmtId="0" fontId="1" fillId="10" borderId="5" xfId="0" applyFont="1" applyFill="1" applyBorder="1" applyAlignment="1">
      <alignment horizontal="center" wrapText="1"/>
    </xf>
    <xf numFmtId="0" fontId="1" fillId="5" borderId="4" xfId="0" applyFont="1" applyFill="1" applyBorder="1" applyAlignment="1">
      <alignment horizontal="center" wrapText="1"/>
    </xf>
    <xf numFmtId="0" fontId="1" fillId="5" borderId="5" xfId="0" applyFont="1" applyFill="1" applyBorder="1" applyAlignment="1">
      <alignment horizontal="center" wrapText="1"/>
    </xf>
    <xf numFmtId="0" fontId="7" fillId="0" borderId="28" xfId="0" applyFont="1" applyBorder="1" applyAlignment="1">
      <alignment horizontal="left"/>
    </xf>
    <xf numFmtId="0" fontId="7" fillId="0" borderId="30" xfId="0" applyFont="1" applyBorder="1" applyAlignment="1">
      <alignment horizontal="left"/>
    </xf>
    <xf numFmtId="0" fontId="7" fillId="0" borderId="29" xfId="0" applyFont="1" applyBorder="1" applyAlignment="1">
      <alignment horizontal="left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2" fillId="8" borderId="48" xfId="0" applyFont="1" applyFill="1" applyBorder="1" applyAlignment="1">
      <alignment horizontal="center"/>
    </xf>
    <xf numFmtId="0" fontId="2" fillId="8" borderId="49" xfId="0" applyFont="1" applyFill="1" applyBorder="1" applyAlignment="1">
      <alignment horizontal="center"/>
    </xf>
    <xf numFmtId="0" fontId="2" fillId="8" borderId="50" xfId="0" applyFont="1" applyFill="1" applyBorder="1" applyAlignment="1">
      <alignment horizontal="center"/>
    </xf>
    <xf numFmtId="0" fontId="2" fillId="8" borderId="51" xfId="0" applyFont="1" applyFill="1" applyBorder="1" applyAlignment="1">
      <alignment horizontal="center"/>
    </xf>
    <xf numFmtId="0" fontId="2" fillId="9" borderId="16" xfId="0" applyFont="1" applyFill="1" applyBorder="1" applyAlignment="1">
      <alignment horizontal="center" vertical="center"/>
    </xf>
    <xf numFmtId="0" fontId="2" fillId="9" borderId="17" xfId="0" applyFont="1" applyFill="1" applyBorder="1" applyAlignment="1">
      <alignment horizontal="center" vertical="center"/>
    </xf>
    <xf numFmtId="0" fontId="2" fillId="14" borderId="28" xfId="0" applyFont="1" applyFill="1" applyBorder="1" applyAlignment="1">
      <alignment horizontal="center" vertical="center"/>
    </xf>
    <xf numFmtId="0" fontId="2" fillId="14" borderId="2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0" fontId="2" fillId="3" borderId="30" xfId="0" applyFont="1" applyFill="1" applyBorder="1" applyAlignment="1">
      <alignment horizontal="center" vertical="center"/>
    </xf>
    <xf numFmtId="0" fontId="2" fillId="3" borderId="29" xfId="0" applyFont="1" applyFill="1" applyBorder="1" applyAlignment="1">
      <alignment horizontal="center" vertical="center"/>
    </xf>
    <xf numFmtId="0" fontId="2" fillId="6" borderId="28" xfId="0" applyFont="1" applyFill="1" applyBorder="1" applyAlignment="1">
      <alignment horizontal="center" vertical="center"/>
    </xf>
    <xf numFmtId="0" fontId="2" fillId="6" borderId="30" xfId="0" applyFont="1" applyFill="1" applyBorder="1" applyAlignment="1">
      <alignment horizontal="center" vertical="center"/>
    </xf>
    <xf numFmtId="0" fontId="2" fillId="6" borderId="29" xfId="0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0" fontId="2" fillId="4" borderId="30" xfId="0" applyFont="1" applyFill="1" applyBorder="1" applyAlignment="1">
      <alignment horizontal="center" vertical="center"/>
    </xf>
    <xf numFmtId="0" fontId="2" fillId="4" borderId="29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9" borderId="11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11" borderId="2" xfId="0" applyFont="1" applyFill="1" applyBorder="1" applyAlignment="1">
      <alignment horizontal="center" vertical="center"/>
    </xf>
    <xf numFmtId="0" fontId="2" fillId="11" borderId="11" xfId="0" applyFont="1" applyFill="1" applyBorder="1" applyAlignment="1">
      <alignment horizontal="center" vertical="center"/>
    </xf>
    <xf numFmtId="0" fontId="2" fillId="11" borderId="3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/>
    </xf>
    <xf numFmtId="0" fontId="2" fillId="8" borderId="12" xfId="0" applyFont="1" applyFill="1" applyBorder="1" applyAlignment="1">
      <alignment horizontal="center"/>
    </xf>
    <xf numFmtId="0" fontId="2" fillId="8" borderId="17" xfId="0" applyFont="1" applyFill="1" applyBorder="1" applyAlignment="1">
      <alignment horizontal="center"/>
    </xf>
    <xf numFmtId="0" fontId="2" fillId="9" borderId="12" xfId="0" applyFont="1" applyFill="1" applyBorder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168" fontId="6" fillId="0" borderId="0" xfId="0" applyNumberFormat="1" applyFont="1" applyAlignment="1">
      <alignment horizontal="left" vertical="center"/>
    </xf>
    <xf numFmtId="0" fontId="2" fillId="13" borderId="25" xfId="0" applyFont="1" applyFill="1" applyBorder="1" applyAlignment="1">
      <alignment horizontal="center" vertical="center"/>
    </xf>
    <xf numFmtId="0" fontId="2" fillId="13" borderId="27" xfId="0" applyFont="1" applyFill="1" applyBorder="1" applyAlignment="1">
      <alignment horizontal="center" vertical="center"/>
    </xf>
    <xf numFmtId="0" fontId="2" fillId="13" borderId="26" xfId="0" applyFont="1" applyFill="1" applyBorder="1" applyAlignment="1">
      <alignment horizontal="center" vertical="center"/>
    </xf>
    <xf numFmtId="0" fontId="2" fillId="14" borderId="25" xfId="0" applyFont="1" applyFill="1" applyBorder="1" applyAlignment="1">
      <alignment horizontal="center" vertical="center"/>
    </xf>
    <xf numFmtId="0" fontId="2" fillId="14" borderId="27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5" fillId="0" borderId="0" xfId="1" applyFont="1" applyBorder="1" applyAlignment="1" applyProtection="1">
      <alignment horizontal="left" vertical="center"/>
    </xf>
    <xf numFmtId="0" fontId="2" fillId="14" borderId="30" xfId="0" applyFont="1" applyFill="1" applyBorder="1" applyAlignment="1">
      <alignment horizontal="center" vertical="center"/>
    </xf>
    <xf numFmtId="0" fontId="2" fillId="13" borderId="28" xfId="0" applyFont="1" applyFill="1" applyBorder="1" applyAlignment="1">
      <alignment horizontal="center" vertical="center"/>
    </xf>
    <xf numFmtId="0" fontId="2" fillId="13" borderId="30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7" fillId="0" borderId="28" xfId="0" applyFont="1" applyBorder="1" applyAlignment="1">
      <alignment horizontal="left" vertical="center"/>
    </xf>
    <xf numFmtId="0" fontId="7" fillId="0" borderId="29" xfId="0" applyFont="1" applyBorder="1" applyAlignment="1">
      <alignment horizontal="left" vertical="center"/>
    </xf>
    <xf numFmtId="0" fontId="2" fillId="4" borderId="25" xfId="0" applyFont="1" applyFill="1" applyBorder="1" applyAlignment="1">
      <alignment horizontal="center" vertical="center"/>
    </xf>
    <xf numFmtId="0" fontId="2" fillId="4" borderId="27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/>
    </xf>
    <xf numFmtId="0" fontId="2" fillId="3" borderId="25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2" fillId="3" borderId="26" xfId="0" applyFont="1" applyFill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7" fillId="0" borderId="36" xfId="0" applyFont="1" applyBorder="1" applyAlignment="1">
      <alignment horizontal="left" vertical="center"/>
    </xf>
    <xf numFmtId="0" fontId="7" fillId="0" borderId="30" xfId="0" applyFont="1" applyBorder="1" applyAlignment="1">
      <alignment horizontal="left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5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66FF99"/>
      <color rgb="FF00FF00"/>
      <color rgb="FFEB7171"/>
      <color rgb="FFE23232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112059</xdr:colOff>
      <xdr:row>0</xdr:row>
      <xdr:rowOff>33617</xdr:rowOff>
    </xdr:from>
    <xdr:to>
      <xdr:col>1</xdr:col>
      <xdr:colOff>2756646</xdr:colOff>
      <xdr:row>5</xdr:row>
      <xdr:rowOff>14390</xdr:rowOff>
    </xdr:to>
    <xdr:pic>
      <xdr:nvPicPr>
        <xdr:cNvPr id="2" name="Рисунок 1" descr="logo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2059" y="33617"/>
          <a:ext cx="3254187" cy="9332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2466975</xdr:colOff>
          <xdr:row>7</xdr:row>
          <xdr:rowOff>38100</xdr:rowOff>
        </xdr:from>
        <xdr:to>
          <xdr:col>1</xdr:col>
          <xdr:colOff>2895600</xdr:colOff>
          <xdr:row>7</xdr:row>
          <xdr:rowOff>285750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27432" rIns="27432" bIns="27432" anchor="ctr" upright="1"/>
            <a:lstStyle/>
            <a:p>
              <a:pPr algn="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Дата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57151</xdr:colOff>
      <xdr:row>1</xdr:row>
      <xdr:rowOff>47626</xdr:rowOff>
    </xdr:from>
    <xdr:to>
      <xdr:col>3</xdr:col>
      <xdr:colOff>3307472</xdr:colOff>
      <xdr:row>5</xdr:row>
      <xdr:rowOff>145257</xdr:rowOff>
    </xdr:to>
    <xdr:pic>
      <xdr:nvPicPr>
        <xdr:cNvPr id="2" name="Рисунок 1" descr="logo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04851" y="47626"/>
          <a:ext cx="3250321" cy="9334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1809750</xdr:colOff>
          <xdr:row>31</xdr:row>
          <xdr:rowOff>0</xdr:rowOff>
        </xdr:from>
        <xdr:to>
          <xdr:col>6</xdr:col>
          <xdr:colOff>3219450</xdr:colOff>
          <xdr:row>34</xdr:row>
          <xdr:rowOff>85725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</a:rPr>
                <a:t>Запрос на 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1790700</xdr:colOff>
          <xdr:row>35</xdr:row>
          <xdr:rowOff>123825</xdr:rowOff>
        </xdr:from>
        <xdr:to>
          <xdr:col>6</xdr:col>
          <xdr:colOff>3190875</xdr:colOff>
          <xdr:row>39</xdr:row>
          <xdr:rowOff>9525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</a:rPr>
                <a:t>Запрос на закупку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9</xdr:row>
          <xdr:rowOff>76200</xdr:rowOff>
        </xdr:from>
        <xdr:to>
          <xdr:col>2</xdr:col>
          <xdr:colOff>276225</xdr:colOff>
          <xdr:row>13</xdr:row>
          <xdr:rowOff>114300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еще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7</xdr:row>
          <xdr:rowOff>228600</xdr:rowOff>
        </xdr:from>
        <xdr:to>
          <xdr:col>2</xdr:col>
          <xdr:colOff>266700</xdr:colOff>
          <xdr:row>8</xdr:row>
          <xdr:rowOff>219075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еще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1800225</xdr:colOff>
          <xdr:row>40</xdr:row>
          <xdr:rowOff>57150</xdr:rowOff>
        </xdr:from>
        <xdr:to>
          <xdr:col>6</xdr:col>
          <xdr:colOff>3200400</xdr:colOff>
          <xdr:row>42</xdr:row>
          <xdr:rowOff>152400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</a:rPr>
                <a:t>Спецификация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1800225</xdr:colOff>
          <xdr:row>43</xdr:row>
          <xdr:rowOff>57150</xdr:rowOff>
        </xdr:from>
        <xdr:to>
          <xdr:col>6</xdr:col>
          <xdr:colOff>3200400</xdr:colOff>
          <xdr:row>46</xdr:row>
          <xdr:rowOff>152400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</a:rPr>
                <a:t>Запрос на АГ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1828800</xdr:colOff>
          <xdr:row>26</xdr:row>
          <xdr:rowOff>95250</xdr:rowOff>
        </xdr:from>
        <xdr:to>
          <xdr:col>6</xdr:col>
          <xdr:colOff>3238500</xdr:colOff>
          <xdr:row>30</xdr:row>
          <xdr:rowOff>9525</xdr:rowOff>
        </xdr:to>
        <xdr:sp macro="" textlink="">
          <xdr:nvSpPr>
            <xdr:cNvPr id="2074" name="CommandButton1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</xdr:row>
          <xdr:rowOff>47625</xdr:rowOff>
        </xdr:from>
        <xdr:to>
          <xdr:col>13</xdr:col>
          <xdr:colOff>619125</xdr:colOff>
          <xdr:row>2</xdr:row>
          <xdr:rowOff>142875</xdr:rowOff>
        </xdr:to>
        <xdr:sp macro="" textlink="">
          <xdr:nvSpPr>
            <xdr:cNvPr id="2075" name="CommandButton2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69851</xdr:colOff>
      <xdr:row>0</xdr:row>
      <xdr:rowOff>352426</xdr:rowOff>
    </xdr:from>
    <xdr:to>
      <xdr:col>1</xdr:col>
      <xdr:colOff>3320172</xdr:colOff>
      <xdr:row>6</xdr:row>
      <xdr:rowOff>3175</xdr:rowOff>
    </xdr:to>
    <xdr:pic>
      <xdr:nvPicPr>
        <xdr:cNvPr id="2" name="Рисунок 1" descr="logo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5451" y="352426"/>
          <a:ext cx="3250321" cy="9461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69851</xdr:colOff>
      <xdr:row>0</xdr:row>
      <xdr:rowOff>352426</xdr:rowOff>
    </xdr:from>
    <xdr:to>
      <xdr:col>1</xdr:col>
      <xdr:colOff>3320172</xdr:colOff>
      <xdr:row>6</xdr:row>
      <xdr:rowOff>3175</xdr:rowOff>
    </xdr:to>
    <xdr:pic>
      <xdr:nvPicPr>
        <xdr:cNvPr id="2" name="Рисунок 1" descr="logo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2276" y="352426"/>
          <a:ext cx="3250321" cy="93662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104776</xdr:colOff>
      <xdr:row>0</xdr:row>
      <xdr:rowOff>19051</xdr:rowOff>
    </xdr:from>
    <xdr:to>
      <xdr:col>1</xdr:col>
      <xdr:colOff>3355097</xdr:colOff>
      <xdr:row>5</xdr:row>
      <xdr:rowOff>161925</xdr:rowOff>
    </xdr:to>
    <xdr:pic>
      <xdr:nvPicPr>
        <xdr:cNvPr id="2" name="Рисунок 1" descr="logo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57201" y="19051"/>
          <a:ext cx="3250321" cy="93344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47626</xdr:colOff>
      <xdr:row>0</xdr:row>
      <xdr:rowOff>133350</xdr:rowOff>
    </xdr:from>
    <xdr:to>
      <xdr:col>1</xdr:col>
      <xdr:colOff>3297947</xdr:colOff>
      <xdr:row>5</xdr:row>
      <xdr:rowOff>200024</xdr:rowOff>
    </xdr:to>
    <xdr:pic>
      <xdr:nvPicPr>
        <xdr:cNvPr id="2" name="Рисунок 1" descr="logo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0051" y="133350"/>
          <a:ext cx="3250321" cy="93344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69851</xdr:colOff>
      <xdr:row>0</xdr:row>
      <xdr:rowOff>352426</xdr:rowOff>
    </xdr:from>
    <xdr:to>
      <xdr:col>1</xdr:col>
      <xdr:colOff>3320172</xdr:colOff>
      <xdr:row>6</xdr:row>
      <xdr:rowOff>3175</xdr:rowOff>
    </xdr:to>
    <xdr:pic>
      <xdr:nvPicPr>
        <xdr:cNvPr id="2" name="Рисунок 1" descr="logo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2276" y="352426"/>
          <a:ext cx="3250321" cy="9366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&#1056;&#1072;&#1079;&#1088;&#1072;&#1073;&#1086;&#1090;&#1082;&#1072;/elecprime.ru" TargetMode="External"/><Relationship Id="rId1" Type="http://schemas.openxmlformats.org/officeDocument/2006/relationships/hyperlink" Target="mailto:info@elecprime.ru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ctrlProp" Target="../ctrlProps/ctrlProp5.xml"/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2.emf"/><Relationship Id="rId12" Type="http://schemas.openxmlformats.org/officeDocument/2006/relationships/ctrlProp" Target="../ctrlProps/ctrlProp4.xml"/><Relationship Id="rId2" Type="http://schemas.openxmlformats.org/officeDocument/2006/relationships/hyperlink" Target="&#1056;&#1072;&#1079;&#1088;&#1072;&#1073;&#1086;&#1090;&#1082;&#1072;/elecprime.ru" TargetMode="External"/><Relationship Id="rId16" Type="http://schemas.openxmlformats.org/officeDocument/2006/relationships/comments" Target="../comments1.xml"/><Relationship Id="rId1" Type="http://schemas.openxmlformats.org/officeDocument/2006/relationships/hyperlink" Target="mailto:info@elecprime.ru" TargetMode="External"/><Relationship Id="rId6" Type="http://schemas.openxmlformats.org/officeDocument/2006/relationships/control" Target="../activeX/activeX1.xml"/><Relationship Id="rId11" Type="http://schemas.openxmlformats.org/officeDocument/2006/relationships/ctrlProp" Target="../ctrlProps/ctrlProp3.xml"/><Relationship Id="rId5" Type="http://schemas.openxmlformats.org/officeDocument/2006/relationships/vmlDrawing" Target="../drawings/vmlDrawing2.vml"/><Relationship Id="rId15" Type="http://schemas.openxmlformats.org/officeDocument/2006/relationships/ctrlProp" Target="../ctrlProps/ctrlProp7.xml"/><Relationship Id="rId10" Type="http://schemas.openxmlformats.org/officeDocument/2006/relationships/ctrlProp" Target="../ctrlProps/ctrlProp2.xml"/><Relationship Id="rId4" Type="http://schemas.openxmlformats.org/officeDocument/2006/relationships/drawing" Target="../drawings/drawing2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&#1056;&#1072;&#1079;&#1088;&#1072;&#1073;&#1086;&#1090;&#1082;&#1072;/elecprime.ru" TargetMode="External"/><Relationship Id="rId1" Type="http://schemas.openxmlformats.org/officeDocument/2006/relationships/hyperlink" Target="mailto:info@elecprime.ru" TargetMode="Externa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&#1056;&#1072;&#1079;&#1088;&#1072;&#1073;&#1086;&#1090;&#1082;&#1072;/elecprime.ru" TargetMode="External"/><Relationship Id="rId1" Type="http://schemas.openxmlformats.org/officeDocument/2006/relationships/hyperlink" Target="mailto:info@elecprime.ru" TargetMode="External"/><Relationship Id="rId4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&#1056;&#1072;&#1079;&#1088;&#1072;&#1073;&#1086;&#1090;&#1082;&#1072;/elecprime.ru" TargetMode="External"/><Relationship Id="rId1" Type="http://schemas.openxmlformats.org/officeDocument/2006/relationships/hyperlink" Target="mailto:info@elecprime.ru" TargetMode="External"/><Relationship Id="rId4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&#1056;&#1072;&#1079;&#1088;&#1072;&#1073;&#1086;&#1090;&#1082;&#1072;/elecprime.ru" TargetMode="External"/><Relationship Id="rId1" Type="http://schemas.openxmlformats.org/officeDocument/2006/relationships/hyperlink" Target="mailto:info@elecprime.ru" TargetMode="External"/><Relationship Id="rId4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&#1056;&#1072;&#1079;&#1088;&#1072;&#1073;&#1086;&#1090;&#1082;&#1072;/elecprime.ru" TargetMode="External"/><Relationship Id="rId1" Type="http://schemas.openxmlformats.org/officeDocument/2006/relationships/hyperlink" Target="mailto:info@elecprime.ru" TargetMode="External"/><Relationship Id="rId4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1:BN84"/>
  <sheetViews>
    <sheetView workbookViewId="0">
      <selection activeCell="H8" sqref="H8"/>
    </sheetView>
  </sheetViews>
  <sheetFormatPr defaultRowHeight="15" x14ac:dyDescent="0.25"/>
  <cols>
    <col min="1" max="1" width="9.140625" style="193" customWidth="1"/>
    <col min="2" max="2" width="44.28515625" style="186" customWidth="1"/>
    <col min="3" max="3" width="17.7109375" style="193" customWidth="1"/>
    <col min="4" max="4" width="26.7109375" style="186" customWidth="1"/>
    <col min="5" max="5" width="16" style="186" customWidth="1"/>
    <col min="6" max="6" width="13" style="186" customWidth="1"/>
    <col min="7" max="7" width="8.5703125" customWidth="1"/>
    <col min="8" max="8" width="13.7109375" style="186" customWidth="1"/>
    <col min="9" max="9" width="12.42578125" style="186" customWidth="1"/>
    <col min="10" max="10" width="9.7109375" style="186" bestFit="1" customWidth="1"/>
    <col min="11" max="11" width="11.7109375" style="186" bestFit="1" customWidth="1"/>
    <col min="12" max="17" width="9.140625" style="186"/>
    <col min="18" max="18" width="10.7109375" style="186" bestFit="1" customWidth="1"/>
    <col min="19" max="49" width="9.140625" style="186"/>
    <col min="50" max="51" width="9.140625" style="186" customWidth="1"/>
    <col min="52" max="52" width="9.140625" style="186" hidden="1" customWidth="1"/>
    <col min="53" max="53" width="20.5703125" style="186" hidden="1" customWidth="1"/>
    <col min="54" max="54" width="13.42578125" style="186" hidden="1" customWidth="1"/>
    <col min="55" max="55" width="11.140625" style="186" hidden="1" customWidth="1"/>
    <col min="56" max="56" width="4" style="186" hidden="1" customWidth="1"/>
    <col min="57" max="57" width="20.28515625" style="186" hidden="1" customWidth="1"/>
    <col min="58" max="58" width="3.28515625" style="186" hidden="1" customWidth="1"/>
    <col min="59" max="59" width="23.7109375" style="186" hidden="1" customWidth="1"/>
    <col min="60" max="60" width="11" style="217" hidden="1" customWidth="1"/>
    <col min="61" max="65" width="9.140625" style="186" hidden="1" customWidth="1"/>
    <col min="66" max="16384" width="9.140625" style="186"/>
  </cols>
  <sheetData>
    <row r="1" spans="1:66" x14ac:dyDescent="0.25">
      <c r="A1" s="254"/>
      <c r="B1" s="254"/>
      <c r="C1" s="255" t="s">
        <v>45</v>
      </c>
      <c r="D1" s="255"/>
    </row>
    <row r="2" spans="1:66" x14ac:dyDescent="0.25">
      <c r="A2" s="254"/>
      <c r="B2" s="254"/>
      <c r="C2" s="256" t="s">
        <v>46</v>
      </c>
      <c r="D2" s="256"/>
      <c r="BE2" s="187" t="s">
        <v>117</v>
      </c>
    </row>
    <row r="3" spans="1:66" x14ac:dyDescent="0.25">
      <c r="A3" s="254"/>
      <c r="B3" s="254"/>
      <c r="C3" s="256" t="s">
        <v>47</v>
      </c>
      <c r="D3" s="256"/>
      <c r="BE3" s="188" t="s">
        <v>118</v>
      </c>
    </row>
    <row r="4" spans="1:66" x14ac:dyDescent="0.25">
      <c r="A4" s="254"/>
      <c r="B4" s="254"/>
      <c r="C4" s="257" t="s">
        <v>48</v>
      </c>
      <c r="D4" s="257"/>
      <c r="BB4" s="186" t="s">
        <v>119</v>
      </c>
      <c r="BC4" s="189"/>
    </row>
    <row r="5" spans="1:66" x14ac:dyDescent="0.25">
      <c r="A5" s="254"/>
      <c r="B5" s="254"/>
      <c r="C5" s="255" t="s">
        <v>49</v>
      </c>
      <c r="D5" s="255"/>
    </row>
    <row r="6" spans="1:66" ht="3" customHeight="1" thickBot="1" x14ac:dyDescent="0.3">
      <c r="A6" s="254"/>
      <c r="B6" s="254"/>
      <c r="C6" s="186"/>
    </row>
    <row r="7" spans="1:66" ht="30" thickBot="1" x14ac:dyDescent="0.3">
      <c r="A7" s="186"/>
      <c r="B7" s="190" t="s">
        <v>55</v>
      </c>
      <c r="C7" s="258"/>
      <c r="D7" s="259"/>
      <c r="BA7" s="186" t="s">
        <v>221</v>
      </c>
      <c r="BE7" s="187" t="s">
        <v>120</v>
      </c>
    </row>
    <row r="8" spans="1:66" ht="18.75" thickBot="1" x14ac:dyDescent="0.3">
      <c r="A8" s="186"/>
      <c r="B8" s="191"/>
      <c r="C8" s="260"/>
      <c r="D8" s="261"/>
      <c r="BA8" s="186" t="s">
        <v>92</v>
      </c>
      <c r="BC8" s="192"/>
      <c r="BE8" s="188" t="s">
        <v>121</v>
      </c>
      <c r="BN8" s="192"/>
    </row>
    <row r="9" spans="1:66" ht="18.75" thickBot="1" x14ac:dyDescent="0.3">
      <c r="A9" s="186"/>
      <c r="B9" s="190" t="s">
        <v>122</v>
      </c>
      <c r="C9" s="258"/>
      <c r="D9" s="259"/>
      <c r="BA9" s="186" t="s">
        <v>220</v>
      </c>
    </row>
    <row r="10" spans="1:66" ht="18.75" thickBot="1" x14ac:dyDescent="0.3">
      <c r="A10" s="186"/>
      <c r="B10" s="190" t="s">
        <v>123</v>
      </c>
      <c r="C10" s="258" t="s">
        <v>117</v>
      </c>
      <c r="D10" s="259"/>
      <c r="BA10" s="186" t="s">
        <v>222</v>
      </c>
    </row>
    <row r="11" spans="1:66" ht="18.75" thickBot="1" x14ac:dyDescent="0.3">
      <c r="A11" s="186"/>
      <c r="B11" s="190" t="s">
        <v>124</v>
      </c>
      <c r="C11" s="258" t="s">
        <v>120</v>
      </c>
      <c r="D11" s="259"/>
      <c r="BA11" s="186" t="s">
        <v>91</v>
      </c>
    </row>
    <row r="12" spans="1:66" ht="7.5" customHeight="1" thickBot="1" x14ac:dyDescent="0.3">
      <c r="BA12" s="186" t="s">
        <v>77</v>
      </c>
    </row>
    <row r="13" spans="1:66" ht="23.25" customHeight="1" thickBot="1" x14ac:dyDescent="0.3">
      <c r="A13" s="251" t="s">
        <v>125</v>
      </c>
      <c r="B13" s="252"/>
      <c r="C13" s="252"/>
      <c r="D13" s="252"/>
      <c r="E13" s="252"/>
      <c r="F13" s="253"/>
      <c r="BA13" s="186" t="s">
        <v>81</v>
      </c>
    </row>
    <row r="14" spans="1:66" ht="30" x14ac:dyDescent="0.25">
      <c r="A14" s="194" t="s">
        <v>126</v>
      </c>
      <c r="B14" s="195" t="s">
        <v>127</v>
      </c>
      <c r="C14" s="194" t="s">
        <v>128</v>
      </c>
      <c r="D14" s="194" t="s">
        <v>129</v>
      </c>
      <c r="E14" s="194" t="s">
        <v>130</v>
      </c>
      <c r="F14" s="194" t="s">
        <v>131</v>
      </c>
      <c r="BA14" s="186" t="s">
        <v>110</v>
      </c>
    </row>
    <row r="15" spans="1:66" x14ac:dyDescent="0.25">
      <c r="A15" s="196">
        <v>1</v>
      </c>
      <c r="B15" s="197"/>
      <c r="C15" s="197"/>
      <c r="D15" s="196"/>
      <c r="E15" s="198"/>
      <c r="F15" s="199"/>
      <c r="BA15" s="186" t="s">
        <v>111</v>
      </c>
      <c r="BG15" s="186" t="s">
        <v>134</v>
      </c>
      <c r="BH15" s="217" t="s">
        <v>135</v>
      </c>
    </row>
    <row r="16" spans="1:66" x14ac:dyDescent="0.25">
      <c r="A16" s="196">
        <v>2</v>
      </c>
      <c r="B16" s="199"/>
      <c r="C16" s="199"/>
      <c r="D16" s="196"/>
      <c r="E16" s="199"/>
      <c r="F16" s="199"/>
      <c r="BG16" s="212" t="s">
        <v>136</v>
      </c>
      <c r="BH16" s="216">
        <v>0.7</v>
      </c>
    </row>
    <row r="17" spans="1:61" x14ac:dyDescent="0.25">
      <c r="A17" s="196">
        <v>3</v>
      </c>
      <c r="B17" s="199"/>
      <c r="C17" s="199"/>
      <c r="D17" s="196"/>
      <c r="E17" s="199"/>
      <c r="F17" s="199"/>
      <c r="BG17" s="212" t="s">
        <v>187</v>
      </c>
      <c r="BH17" s="213">
        <v>0.14399999999999999</v>
      </c>
    </row>
    <row r="18" spans="1:61" x14ac:dyDescent="0.25">
      <c r="A18" s="196">
        <v>4</v>
      </c>
      <c r="B18" s="199"/>
      <c r="C18" s="199"/>
      <c r="D18" s="196"/>
      <c r="E18" s="199"/>
      <c r="F18" s="199"/>
      <c r="BG18" s="212" t="s">
        <v>184</v>
      </c>
      <c r="BH18" s="213">
        <v>0.14399999999999999</v>
      </c>
    </row>
    <row r="19" spans="1:61" ht="15" customHeight="1" x14ac:dyDescent="0.25">
      <c r="A19" s="196">
        <v>5</v>
      </c>
      <c r="B19" s="199"/>
      <c r="C19" s="199"/>
      <c r="D19" s="196"/>
      <c r="E19" s="199"/>
      <c r="F19" s="199"/>
      <c r="BG19" s="212" t="s">
        <v>185</v>
      </c>
      <c r="BH19" s="213">
        <v>0.14399999999999999</v>
      </c>
    </row>
    <row r="20" spans="1:61" x14ac:dyDescent="0.25">
      <c r="A20" s="196">
        <v>6</v>
      </c>
      <c r="B20" s="199"/>
      <c r="C20" s="199"/>
      <c r="D20" s="196"/>
      <c r="E20" s="199"/>
      <c r="F20" s="199"/>
      <c r="BG20" s="212" t="s">
        <v>186</v>
      </c>
      <c r="BH20" s="213">
        <v>0.14399999999999999</v>
      </c>
    </row>
    <row r="21" spans="1:61" x14ac:dyDescent="0.25">
      <c r="A21" s="196">
        <v>7</v>
      </c>
      <c r="B21" s="199"/>
      <c r="C21" s="199"/>
      <c r="D21" s="196"/>
      <c r="E21" s="199"/>
      <c r="F21" s="199"/>
      <c r="BG21" s="212" t="s">
        <v>137</v>
      </c>
      <c r="BH21" s="219">
        <v>5</v>
      </c>
    </row>
    <row r="22" spans="1:61" x14ac:dyDescent="0.25">
      <c r="A22" s="196">
        <v>8</v>
      </c>
      <c r="B22" s="199"/>
      <c r="C22" s="199"/>
      <c r="D22" s="196"/>
      <c r="E22" s="199"/>
      <c r="F22" s="199"/>
      <c r="BG22" s="212" t="s">
        <v>138</v>
      </c>
      <c r="BH22" s="213">
        <v>0.15</v>
      </c>
    </row>
    <row r="23" spans="1:61" x14ac:dyDescent="0.25">
      <c r="A23" s="196">
        <v>9</v>
      </c>
      <c r="B23" s="199"/>
      <c r="C23" s="199"/>
      <c r="D23" s="196"/>
      <c r="E23" s="199"/>
      <c r="F23" s="199"/>
      <c r="BG23" s="212" t="s">
        <v>139</v>
      </c>
      <c r="BH23" s="213">
        <v>0.15</v>
      </c>
    </row>
    <row r="24" spans="1:61" s="200" customFormat="1" x14ac:dyDescent="0.25">
      <c r="A24" s="196">
        <v>10</v>
      </c>
      <c r="B24" s="199"/>
      <c r="C24" s="199"/>
      <c r="D24" s="196"/>
      <c r="E24" s="199"/>
      <c r="F24" s="199"/>
      <c r="G24"/>
      <c r="BA24" s="186"/>
      <c r="BG24" s="212" t="s">
        <v>140</v>
      </c>
      <c r="BH24" s="213">
        <v>0.18</v>
      </c>
      <c r="BI24" s="186"/>
    </row>
    <row r="25" spans="1:61" s="200" customFormat="1" x14ac:dyDescent="0.25">
      <c r="A25" s="196">
        <v>11</v>
      </c>
      <c r="B25" s="199"/>
      <c r="C25" s="199"/>
      <c r="D25" s="196"/>
      <c r="E25" s="199"/>
      <c r="F25" s="199"/>
      <c r="G25"/>
      <c r="BA25" s="186"/>
      <c r="BG25" s="212" t="s">
        <v>141</v>
      </c>
      <c r="BH25" s="213">
        <v>1.5</v>
      </c>
      <c r="BI25" s="186"/>
    </row>
    <row r="26" spans="1:61" s="200" customFormat="1" x14ac:dyDescent="0.25">
      <c r="A26" s="196">
        <v>12</v>
      </c>
      <c r="B26" s="199"/>
      <c r="C26" s="199"/>
      <c r="D26" s="196"/>
      <c r="E26" s="199"/>
      <c r="F26" s="199"/>
      <c r="G26"/>
      <c r="BG26" s="212" t="s">
        <v>142</v>
      </c>
      <c r="BH26" s="213">
        <v>8</v>
      </c>
      <c r="BI26" s="186"/>
    </row>
    <row r="27" spans="1:61" s="200" customFormat="1" x14ac:dyDescent="0.25">
      <c r="A27" s="196">
        <v>13</v>
      </c>
      <c r="B27" s="199"/>
      <c r="C27" s="199"/>
      <c r="D27" s="196"/>
      <c r="E27" s="199"/>
      <c r="F27" s="199"/>
      <c r="G27"/>
      <c r="BG27" s="212" t="s">
        <v>143</v>
      </c>
      <c r="BH27" s="213">
        <v>2</v>
      </c>
      <c r="BI27" s="186"/>
    </row>
    <row r="28" spans="1:61" s="200" customFormat="1" x14ac:dyDescent="0.25">
      <c r="A28" s="196">
        <v>14</v>
      </c>
      <c r="B28" s="199"/>
      <c r="C28" s="199"/>
      <c r="D28" s="196"/>
      <c r="E28" s="199"/>
      <c r="F28" s="199"/>
      <c r="G28"/>
      <c r="BG28" s="212" t="s">
        <v>144</v>
      </c>
      <c r="BH28" s="213">
        <v>4</v>
      </c>
      <c r="BI28" s="186"/>
    </row>
    <row r="29" spans="1:61" s="200" customFormat="1" x14ac:dyDescent="0.25">
      <c r="A29" s="196">
        <v>15</v>
      </c>
      <c r="B29" s="199"/>
      <c r="C29" s="199"/>
      <c r="D29" s="196"/>
      <c r="E29" s="199"/>
      <c r="F29" s="199"/>
      <c r="G29"/>
      <c r="BG29" s="212" t="s">
        <v>145</v>
      </c>
      <c r="BH29" s="213">
        <v>0.08</v>
      </c>
      <c r="BI29" s="186"/>
    </row>
    <row r="30" spans="1:61" s="200" customFormat="1" x14ac:dyDescent="0.25">
      <c r="A30" s="196">
        <v>16</v>
      </c>
      <c r="B30" s="199"/>
      <c r="C30" s="199"/>
      <c r="D30" s="196"/>
      <c r="E30" s="199"/>
      <c r="F30" s="199"/>
      <c r="G30"/>
      <c r="BG30" s="212" t="s">
        <v>146</v>
      </c>
      <c r="BH30" s="213">
        <v>0.08</v>
      </c>
      <c r="BI30" s="186"/>
    </row>
    <row r="31" spans="1:61" s="200" customFormat="1" x14ac:dyDescent="0.25">
      <c r="A31" s="196">
        <v>17</v>
      </c>
      <c r="B31" s="199"/>
      <c r="C31" s="199"/>
      <c r="D31" s="196"/>
      <c r="E31" s="199"/>
      <c r="F31" s="199"/>
      <c r="G31"/>
      <c r="BG31" s="212" t="s">
        <v>147</v>
      </c>
      <c r="BH31" s="213">
        <v>0.04</v>
      </c>
      <c r="BI31" s="186"/>
    </row>
    <row r="32" spans="1:61" s="200" customFormat="1" x14ac:dyDescent="0.25">
      <c r="A32" s="196">
        <v>18</v>
      </c>
      <c r="B32" s="199"/>
      <c r="C32" s="199"/>
      <c r="D32" s="196"/>
      <c r="E32" s="199"/>
      <c r="F32" s="199"/>
      <c r="G32"/>
      <c r="BG32" s="212" t="s">
        <v>148</v>
      </c>
      <c r="BH32" s="213">
        <v>0.08</v>
      </c>
      <c r="BI32" s="186"/>
    </row>
    <row r="33" spans="1:61" s="200" customFormat="1" x14ac:dyDescent="0.25">
      <c r="A33" s="196">
        <v>19</v>
      </c>
      <c r="B33" s="199"/>
      <c r="C33" s="199"/>
      <c r="D33" s="196"/>
      <c r="E33" s="199"/>
      <c r="F33" s="199"/>
      <c r="G33"/>
      <c r="BG33" s="221" t="s">
        <v>149</v>
      </c>
      <c r="BH33" s="214">
        <v>0.05</v>
      </c>
      <c r="BI33" s="186"/>
    </row>
    <row r="34" spans="1:61" s="200" customFormat="1" x14ac:dyDescent="0.25">
      <c r="A34" s="196">
        <v>20</v>
      </c>
      <c r="B34" s="211"/>
      <c r="C34" s="211"/>
      <c r="D34" s="211"/>
      <c r="E34" s="211"/>
      <c r="F34" s="211"/>
      <c r="G34"/>
      <c r="BG34" s="212" t="s">
        <v>150</v>
      </c>
      <c r="BH34" s="215">
        <v>0.25</v>
      </c>
      <c r="BI34" s="186"/>
    </row>
    <row r="35" spans="1:61" s="200" customFormat="1" x14ac:dyDescent="0.25">
      <c r="G35"/>
      <c r="BG35" s="212" t="s">
        <v>151</v>
      </c>
      <c r="BH35" s="215">
        <v>0.28999999999999998</v>
      </c>
      <c r="BI35" s="186"/>
    </row>
    <row r="36" spans="1:61" s="200" customFormat="1" x14ac:dyDescent="0.25">
      <c r="G36"/>
      <c r="BG36" s="212" t="s">
        <v>152</v>
      </c>
      <c r="BH36" s="215">
        <v>3.5000000000000003E-2</v>
      </c>
      <c r="BI36" s="186"/>
    </row>
    <row r="37" spans="1:61" s="200" customFormat="1" x14ac:dyDescent="0.25">
      <c r="G37"/>
      <c r="BG37" s="212" t="s">
        <v>153</v>
      </c>
      <c r="BH37" s="215">
        <v>0.08</v>
      </c>
      <c r="BI37" s="186"/>
    </row>
    <row r="38" spans="1:61" s="200" customFormat="1" x14ac:dyDescent="0.25">
      <c r="G38"/>
      <c r="BG38" s="212" t="s">
        <v>154</v>
      </c>
      <c r="BH38" s="215">
        <v>0.05</v>
      </c>
      <c r="BI38" s="186"/>
    </row>
    <row r="39" spans="1:61" s="200" customFormat="1" x14ac:dyDescent="0.25">
      <c r="G39"/>
      <c r="BG39" s="212" t="s">
        <v>155</v>
      </c>
      <c r="BH39" s="215">
        <v>0.02</v>
      </c>
      <c r="BI39" s="186"/>
    </row>
    <row r="40" spans="1:61" s="200" customFormat="1" x14ac:dyDescent="0.25">
      <c r="G40"/>
      <c r="BG40" s="212" t="s">
        <v>156</v>
      </c>
      <c r="BH40" s="215">
        <v>0.1</v>
      </c>
      <c r="BI40" s="186"/>
    </row>
    <row r="41" spans="1:61" s="200" customFormat="1" x14ac:dyDescent="0.25">
      <c r="G41"/>
      <c r="BG41" s="212" t="s">
        <v>157</v>
      </c>
      <c r="BH41" s="215">
        <v>0.03</v>
      </c>
      <c r="BI41" s="186"/>
    </row>
    <row r="42" spans="1:61" s="200" customFormat="1" x14ac:dyDescent="0.25">
      <c r="G42"/>
      <c r="BG42" s="212" t="s">
        <v>158</v>
      </c>
      <c r="BH42" s="215">
        <v>0.03</v>
      </c>
      <c r="BI42" s="186"/>
    </row>
    <row r="43" spans="1:61" s="200" customFormat="1" x14ac:dyDescent="0.25">
      <c r="G43"/>
      <c r="BG43" s="221" t="s">
        <v>159</v>
      </c>
      <c r="BH43" s="215">
        <v>0.55000000000000004</v>
      </c>
      <c r="BI43" s="186"/>
    </row>
    <row r="44" spans="1:61" s="200" customFormat="1" x14ac:dyDescent="0.25">
      <c r="G44"/>
      <c r="BG44" s="221" t="s">
        <v>160</v>
      </c>
      <c r="BH44" s="215">
        <v>2.2000000000000002</v>
      </c>
      <c r="BI44" s="186"/>
    </row>
    <row r="45" spans="1:61" s="200" customFormat="1" x14ac:dyDescent="0.25">
      <c r="G45"/>
      <c r="BG45" s="221" t="s">
        <v>161</v>
      </c>
      <c r="BH45" s="215">
        <v>0.15</v>
      </c>
      <c r="BI45" s="186"/>
    </row>
    <row r="46" spans="1:61" s="200" customFormat="1" x14ac:dyDescent="0.25">
      <c r="C46" s="201"/>
      <c r="G46"/>
      <c r="BG46" s="221" t="s">
        <v>162</v>
      </c>
      <c r="BH46" s="215">
        <v>7.0000000000000007E-2</v>
      </c>
      <c r="BI46" s="186"/>
    </row>
    <row r="47" spans="1:61" s="200" customFormat="1" x14ac:dyDescent="0.25">
      <c r="G47"/>
      <c r="BG47" s="221" t="s">
        <v>163</v>
      </c>
      <c r="BH47" s="215">
        <v>0.22</v>
      </c>
      <c r="BI47" s="186"/>
    </row>
    <row r="48" spans="1:61" s="200" customFormat="1" x14ac:dyDescent="0.25">
      <c r="G48"/>
      <c r="BG48" s="221" t="s">
        <v>164</v>
      </c>
      <c r="BH48" s="215">
        <v>0.25</v>
      </c>
      <c r="BI48" s="186"/>
    </row>
    <row r="49" spans="7:61" s="200" customFormat="1" x14ac:dyDescent="0.25">
      <c r="G49"/>
      <c r="BG49" s="221" t="s">
        <v>165</v>
      </c>
      <c r="BH49" s="215">
        <v>7.0000000000000007E-2</v>
      </c>
      <c r="BI49" s="186"/>
    </row>
    <row r="50" spans="7:61" s="200" customFormat="1" x14ac:dyDescent="0.25">
      <c r="G50"/>
      <c r="BG50" s="221" t="s">
        <v>166</v>
      </c>
      <c r="BH50" s="215">
        <v>0.08</v>
      </c>
      <c r="BI50" s="186"/>
    </row>
    <row r="51" spans="7:61" s="200" customFormat="1" x14ac:dyDescent="0.25">
      <c r="G51"/>
      <c r="BG51" s="221" t="s">
        <v>167</v>
      </c>
      <c r="BH51" s="215">
        <v>0.04</v>
      </c>
      <c r="BI51" s="186"/>
    </row>
    <row r="52" spans="7:61" s="200" customFormat="1" x14ac:dyDescent="0.25">
      <c r="G52"/>
      <c r="BG52" s="221" t="s">
        <v>168</v>
      </c>
      <c r="BH52" s="215">
        <v>3.5999999999999997E-2</v>
      </c>
      <c r="BI52" s="186"/>
    </row>
    <row r="53" spans="7:61" s="200" customFormat="1" x14ac:dyDescent="0.25">
      <c r="G53"/>
      <c r="BG53" s="221" t="s">
        <v>169</v>
      </c>
      <c r="BH53" s="215">
        <v>0.05</v>
      </c>
      <c r="BI53" s="186"/>
    </row>
    <row r="54" spans="7:61" s="200" customFormat="1" x14ac:dyDescent="0.25">
      <c r="G54"/>
      <c r="BG54" s="221" t="s">
        <v>170</v>
      </c>
      <c r="BH54" s="215">
        <v>2.7</v>
      </c>
      <c r="BI54" s="186"/>
    </row>
    <row r="55" spans="7:61" s="200" customFormat="1" x14ac:dyDescent="0.25">
      <c r="G55"/>
      <c r="BG55" s="221" t="s">
        <v>171</v>
      </c>
      <c r="BH55" s="215">
        <v>7.2</v>
      </c>
      <c r="BI55" s="186"/>
    </row>
    <row r="56" spans="7:61" s="200" customFormat="1" x14ac:dyDescent="0.25">
      <c r="G56"/>
      <c r="BG56" s="221" t="s">
        <v>172</v>
      </c>
      <c r="BH56" s="215">
        <v>7.25</v>
      </c>
      <c r="BI56" s="186"/>
    </row>
    <row r="57" spans="7:61" s="200" customFormat="1" x14ac:dyDescent="0.25">
      <c r="G57"/>
      <c r="BG57" s="221" t="s">
        <v>173</v>
      </c>
      <c r="BH57" s="215">
        <v>0.7</v>
      </c>
      <c r="BI57" s="186"/>
    </row>
    <row r="58" spans="7:61" s="200" customFormat="1" x14ac:dyDescent="0.25">
      <c r="G58"/>
      <c r="BG58" s="221" t="s">
        <v>174</v>
      </c>
      <c r="BH58" s="215">
        <v>2.5</v>
      </c>
      <c r="BI58" s="186"/>
    </row>
    <row r="59" spans="7:61" s="200" customFormat="1" x14ac:dyDescent="0.25">
      <c r="G59"/>
      <c r="BG59" s="221" t="s">
        <v>175</v>
      </c>
      <c r="BH59" s="215">
        <v>1.3</v>
      </c>
      <c r="BI59" s="186"/>
    </row>
    <row r="60" spans="7:61" s="200" customFormat="1" x14ac:dyDescent="0.25">
      <c r="G60"/>
      <c r="BG60" s="221" t="s">
        <v>176</v>
      </c>
      <c r="BH60" s="215">
        <v>0.25</v>
      </c>
      <c r="BI60" s="186"/>
    </row>
    <row r="61" spans="7:61" s="200" customFormat="1" x14ac:dyDescent="0.25">
      <c r="G61"/>
      <c r="BG61" s="221" t="s">
        <v>177</v>
      </c>
      <c r="BH61" s="215">
        <v>0.35</v>
      </c>
      <c r="BI61" s="186"/>
    </row>
    <row r="62" spans="7:61" s="200" customFormat="1" x14ac:dyDescent="0.25">
      <c r="G62"/>
      <c r="BG62" s="221" t="s">
        <v>178</v>
      </c>
      <c r="BH62" s="215">
        <v>1</v>
      </c>
      <c r="BI62" s="186"/>
    </row>
    <row r="63" spans="7:61" s="200" customFormat="1" x14ac:dyDescent="0.25">
      <c r="G63"/>
      <c r="BG63" s="221" t="s">
        <v>179</v>
      </c>
      <c r="BH63" s="215">
        <v>4</v>
      </c>
      <c r="BI63" s="186"/>
    </row>
    <row r="64" spans="7:61" s="200" customFormat="1" x14ac:dyDescent="0.25">
      <c r="G64"/>
      <c r="BG64" s="212" t="s">
        <v>180</v>
      </c>
      <c r="BH64" s="220">
        <v>0.01</v>
      </c>
      <c r="BI64" s="186"/>
    </row>
    <row r="65" spans="7:61" s="200" customFormat="1" x14ac:dyDescent="0.25">
      <c r="G65"/>
      <c r="BG65" s="212" t="s">
        <v>181</v>
      </c>
      <c r="BH65" s="220">
        <v>1.0999999999999999E-2</v>
      </c>
      <c r="BI65" s="186"/>
    </row>
    <row r="66" spans="7:61" s="200" customFormat="1" x14ac:dyDescent="0.25">
      <c r="G66"/>
      <c r="BG66" s="212" t="s">
        <v>182</v>
      </c>
      <c r="BH66" s="214">
        <v>0.1</v>
      </c>
      <c r="BI66" s="186"/>
    </row>
    <row r="67" spans="7:61" s="200" customFormat="1" x14ac:dyDescent="0.25">
      <c r="G67"/>
      <c r="BG67" s="212" t="s">
        <v>183</v>
      </c>
      <c r="BH67" s="214">
        <v>0.03</v>
      </c>
      <c r="BI67" s="186"/>
    </row>
    <row r="68" spans="7:61" s="200" customFormat="1" x14ac:dyDescent="0.25">
      <c r="G68"/>
      <c r="BG68" s="212">
        <v>1206</v>
      </c>
      <c r="BH68" s="214">
        <v>7.5999999999999998E-2</v>
      </c>
      <c r="BI68" s="186"/>
    </row>
    <row r="69" spans="7:61" s="200" customFormat="1" x14ac:dyDescent="0.25">
      <c r="G69"/>
      <c r="BG69" s="212">
        <v>1212</v>
      </c>
      <c r="BH69" s="214">
        <v>5.64</v>
      </c>
    </row>
    <row r="70" spans="7:61" s="200" customFormat="1" x14ac:dyDescent="0.25">
      <c r="G70"/>
      <c r="BG70" s="212">
        <v>2010</v>
      </c>
      <c r="BH70" s="214">
        <v>5.5E-2</v>
      </c>
    </row>
    <row r="71" spans="7:61" s="200" customFormat="1" x14ac:dyDescent="0.25">
      <c r="G71"/>
      <c r="BG71" s="212">
        <v>2512</v>
      </c>
      <c r="BH71" s="214">
        <v>9.6000000000000002E-2</v>
      </c>
    </row>
    <row r="72" spans="7:61" s="200" customFormat="1" x14ac:dyDescent="0.25">
      <c r="G72"/>
      <c r="BH72" s="218"/>
    </row>
    <row r="73" spans="7:61" s="200" customFormat="1" x14ac:dyDescent="0.25">
      <c r="G73"/>
      <c r="BH73" s="218"/>
    </row>
    <row r="74" spans="7:61" s="200" customFormat="1" x14ac:dyDescent="0.25">
      <c r="G74"/>
      <c r="BH74" s="218"/>
    </row>
    <row r="75" spans="7:61" s="200" customFormat="1" x14ac:dyDescent="0.25">
      <c r="G75"/>
      <c r="BH75" s="218"/>
    </row>
    <row r="76" spans="7:61" s="200" customFormat="1" x14ac:dyDescent="0.25">
      <c r="G76"/>
      <c r="BH76" s="218"/>
    </row>
    <row r="77" spans="7:61" s="200" customFormat="1" x14ac:dyDescent="0.25">
      <c r="G77"/>
      <c r="BH77" s="218"/>
    </row>
    <row r="78" spans="7:61" s="200" customFormat="1" x14ac:dyDescent="0.25">
      <c r="G78"/>
      <c r="BH78" s="218"/>
    </row>
    <row r="79" spans="7:61" s="200" customFormat="1" x14ac:dyDescent="0.25">
      <c r="G79"/>
      <c r="BG79" s="186"/>
      <c r="BH79" s="217"/>
    </row>
    <row r="80" spans="7:61" s="200" customFormat="1" x14ac:dyDescent="0.25">
      <c r="G80"/>
      <c r="BG80" s="186"/>
      <c r="BH80" s="217"/>
    </row>
    <row r="81" spans="1:60" s="200" customFormat="1" x14ac:dyDescent="0.25">
      <c r="G81"/>
      <c r="BG81" s="186"/>
      <c r="BH81" s="217"/>
    </row>
    <row r="82" spans="1:60" s="200" customFormat="1" x14ac:dyDescent="0.25">
      <c r="G82"/>
      <c r="BG82" s="186"/>
      <c r="BH82" s="217"/>
    </row>
    <row r="83" spans="1:60" x14ac:dyDescent="0.25">
      <c r="A83" s="200"/>
      <c r="B83" s="200"/>
      <c r="C83" s="200"/>
      <c r="D83" s="200"/>
      <c r="E83" s="200"/>
      <c r="F83" s="200"/>
      <c r="BA83" s="200"/>
    </row>
    <row r="84" spans="1:60" x14ac:dyDescent="0.25">
      <c r="BA84" s="200"/>
    </row>
  </sheetData>
  <mergeCells count="12">
    <mergeCell ref="A13:F13"/>
    <mergeCell ref="A1:B6"/>
    <mergeCell ref="C1:D1"/>
    <mergeCell ref="C2:D2"/>
    <mergeCell ref="C3:D3"/>
    <mergeCell ref="C4:D4"/>
    <mergeCell ref="C5:D5"/>
    <mergeCell ref="C7:D7"/>
    <mergeCell ref="C8:D8"/>
    <mergeCell ref="C9:D9"/>
    <mergeCell ref="C10:D10"/>
    <mergeCell ref="C11:D11"/>
  </mergeCells>
  <conditionalFormatting sqref="C10:C11">
    <cfRule type="cellIs" dxfId="4" priority="3" operator="equal">
      <formula>"Остановить поиск"</formula>
    </cfRule>
    <cfRule type="cellIs" dxfId="3" priority="4" operator="equal">
      <formula>"Искать квоты"</formula>
    </cfRule>
  </conditionalFormatting>
  <conditionalFormatting sqref="C11">
    <cfRule type="cellIs" dxfId="2" priority="1" operator="equal">
      <formula>"Срочно"</formula>
    </cfRule>
    <cfRule type="cellIs" dxfId="1" priority="2" operator="equal">
      <formula>"Обычная"</formula>
    </cfRule>
  </conditionalFormatting>
  <dataValidations count="3">
    <dataValidation type="list" allowBlank="1" showInputMessage="1" showErrorMessage="1" sqref="C11">
      <formula1>$BE$7:$BE$8</formula1>
    </dataValidation>
    <dataValidation type="list" allowBlank="1" showInputMessage="1" showErrorMessage="1" sqref="C10">
      <formula1>$BE$2:$BE$3</formula1>
    </dataValidation>
    <dataValidation type="list" allowBlank="1" showInputMessage="1" showErrorMessage="1" sqref="C9:D9">
      <formula1>$BA$7:$BA$15</formula1>
    </dataValidation>
  </dataValidations>
  <hyperlinks>
    <hyperlink ref="C3" r:id="rId1"/>
    <hyperlink ref="C2" r:id="rId2"/>
  </hyperlinks>
  <pageMargins left="0.7" right="0.7" top="0.75" bottom="0.75" header="0.3" footer="0.3"/>
  <pageSetup paperSize="9" orientation="portrait" r:id="rId3"/>
  <ignoredErrors>
    <ignoredError sqref="BG64:BG67" numberStoredAsText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6" name="Button 1">
              <controlPr defaultSize="0" print="0" autoFill="0" autoPict="0" macro="[0]!Дата">
                <anchor moveWithCells="1" sizeWithCells="1">
                  <from>
                    <xdr:col>1</xdr:col>
                    <xdr:colOff>2466975</xdr:colOff>
                    <xdr:row>7</xdr:row>
                    <xdr:rowOff>38100</xdr:rowOff>
                  </from>
                  <to>
                    <xdr:col>1</xdr:col>
                    <xdr:colOff>2895600</xdr:colOff>
                    <xdr:row>7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BP45"/>
  <sheetViews>
    <sheetView showZeros="0" tabSelected="1" zoomScale="80" zoomScaleNormal="80" workbookViewId="0">
      <selection activeCell="B3" sqref="B3"/>
    </sheetView>
  </sheetViews>
  <sheetFormatPr defaultRowHeight="15" x14ac:dyDescent="0.25"/>
  <cols>
    <col min="1" max="1" width="4.85546875" customWidth="1"/>
    <col min="2" max="2" width="8.140625" customWidth="1"/>
    <col min="3" max="3" width="5.28515625" customWidth="1"/>
    <col min="4" max="4" width="50.5703125" customWidth="1"/>
    <col min="5" max="5" width="15.7109375" customWidth="1"/>
    <col min="6" max="6" width="2" customWidth="1"/>
    <col min="7" max="7" width="50.7109375" customWidth="1"/>
    <col min="8" max="8" width="12.5703125" customWidth="1"/>
    <col min="9" max="9" width="17.42578125" customWidth="1"/>
    <col min="10" max="10" width="10.85546875" customWidth="1"/>
    <col min="11" max="11" width="8" customWidth="1"/>
    <col min="12" max="12" width="18.5703125" customWidth="1"/>
    <col min="13" max="14" width="13.42578125" customWidth="1"/>
    <col min="15" max="15" width="17.42578125" bestFit="1" customWidth="1"/>
    <col min="16" max="16" width="14.85546875" customWidth="1"/>
    <col min="17" max="17" width="12.85546875" customWidth="1"/>
    <col min="18" max="18" width="17.5703125" customWidth="1"/>
    <col min="19" max="19" width="16.140625" customWidth="1"/>
    <col min="20" max="20" width="9.85546875" bestFit="1" customWidth="1"/>
    <col min="21" max="21" width="15.5703125" customWidth="1"/>
    <col min="22" max="23" width="16.140625" customWidth="1"/>
    <col min="24" max="24" width="10.28515625" bestFit="1" customWidth="1"/>
    <col min="25" max="25" width="10.28515625" customWidth="1"/>
    <col min="26" max="26" width="12.85546875" customWidth="1"/>
    <col min="27" max="27" width="13.42578125" customWidth="1"/>
    <col min="28" max="28" width="10.7109375" bestFit="1" customWidth="1"/>
    <col min="29" max="29" width="13.5703125" bestFit="1" customWidth="1"/>
    <col min="30" max="30" width="13.85546875" bestFit="1" customWidth="1"/>
    <col min="31" max="31" width="20.7109375" customWidth="1"/>
    <col min="32" max="32" width="22.42578125" bestFit="1" customWidth="1"/>
    <col min="33" max="33" width="20.7109375" customWidth="1"/>
    <col min="51" max="51" width="9.140625" customWidth="1"/>
    <col min="52" max="54" width="9.140625" hidden="1" customWidth="1"/>
    <col min="55" max="55" width="35" hidden="1" customWidth="1"/>
    <col min="56" max="59" width="9.140625" hidden="1" customWidth="1"/>
    <col min="60" max="60" width="20.28515625" hidden="1" customWidth="1"/>
    <col min="61" max="68" width="9.140625" hidden="1" customWidth="1"/>
    <col min="69" max="70" width="9.140625" customWidth="1"/>
  </cols>
  <sheetData>
    <row r="1" spans="2:67" ht="6" customHeight="1" thickBot="1" x14ac:dyDescent="0.3"/>
    <row r="2" spans="2:67" ht="15.75" x14ac:dyDescent="0.25">
      <c r="D2" s="262"/>
      <c r="E2" s="266" t="s">
        <v>45</v>
      </c>
      <c r="F2" s="266"/>
      <c r="G2" s="267"/>
      <c r="H2" s="263" t="s">
        <v>26</v>
      </c>
      <c r="I2" s="263"/>
      <c r="J2" s="181">
        <v>58.464300000000001</v>
      </c>
      <c r="K2" s="2"/>
      <c r="L2" s="35" t="s">
        <v>41</v>
      </c>
      <c r="M2" s="67">
        <f>AI26/1000</f>
        <v>0</v>
      </c>
      <c r="N2" s="2"/>
      <c r="O2" s="134" t="s">
        <v>82</v>
      </c>
      <c r="P2" s="135">
        <v>2</v>
      </c>
      <c r="BH2">
        <v>2</v>
      </c>
      <c r="BK2" t="s">
        <v>221</v>
      </c>
      <c r="BO2" t="s">
        <v>115</v>
      </c>
    </row>
    <row r="3" spans="2:67" ht="16.5" thickBot="1" x14ac:dyDescent="0.3">
      <c r="D3" s="262"/>
      <c r="E3" s="268" t="s">
        <v>46</v>
      </c>
      <c r="F3" s="268"/>
      <c r="G3" s="269"/>
      <c r="H3" s="264" t="s">
        <v>78</v>
      </c>
      <c r="I3" s="265"/>
      <c r="J3" s="182">
        <f>J2+(J2)*0.03</f>
        <v>60.218229000000001</v>
      </c>
      <c r="K3" s="2"/>
      <c r="L3" s="35" t="s">
        <v>42</v>
      </c>
      <c r="M3" s="67"/>
      <c r="N3" s="2"/>
      <c r="O3" s="136" t="s">
        <v>88</v>
      </c>
      <c r="P3" s="137" t="s">
        <v>89</v>
      </c>
      <c r="BC3" t="s">
        <v>84</v>
      </c>
      <c r="BF3" t="s">
        <v>63</v>
      </c>
      <c r="BH3">
        <v>3</v>
      </c>
      <c r="BK3" t="s">
        <v>92</v>
      </c>
    </row>
    <row r="4" spans="2:67" ht="16.5" thickBot="1" x14ac:dyDescent="0.3">
      <c r="D4" s="262"/>
      <c r="E4" s="268" t="s">
        <v>47</v>
      </c>
      <c r="F4" s="268"/>
      <c r="G4" s="269"/>
      <c r="H4" s="263" t="s">
        <v>28</v>
      </c>
      <c r="I4" s="263"/>
      <c r="J4" s="183">
        <f>J3</f>
        <v>60.218229000000001</v>
      </c>
      <c r="K4" s="2"/>
      <c r="L4" s="35" t="s">
        <v>30</v>
      </c>
      <c r="M4" s="165"/>
      <c r="N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BC4" t="s">
        <v>85</v>
      </c>
      <c r="BF4" t="s">
        <v>64</v>
      </c>
      <c r="BH4">
        <v>4</v>
      </c>
      <c r="BK4" t="s">
        <v>220</v>
      </c>
    </row>
    <row r="5" spans="2:67" ht="16.5" thickBot="1" x14ac:dyDescent="0.3">
      <c r="D5" s="262"/>
      <c r="E5" s="270" t="s">
        <v>48</v>
      </c>
      <c r="F5" s="270"/>
      <c r="G5" s="270"/>
      <c r="L5" s="131" t="s">
        <v>83</v>
      </c>
      <c r="M5" s="67" t="s">
        <v>84</v>
      </c>
      <c r="O5" s="158" t="s">
        <v>64</v>
      </c>
      <c r="P5" t="s">
        <v>95</v>
      </c>
      <c r="BG5" t="s">
        <v>89</v>
      </c>
      <c r="BH5">
        <v>5</v>
      </c>
      <c r="BK5" t="s">
        <v>222</v>
      </c>
    </row>
    <row r="6" spans="2:67" ht="15.75" x14ac:dyDescent="0.25">
      <c r="D6" s="262"/>
      <c r="E6" s="266" t="s">
        <v>49</v>
      </c>
      <c r="F6" s="266"/>
      <c r="G6" s="266"/>
      <c r="L6" s="133" t="s">
        <v>108</v>
      </c>
      <c r="M6" s="164">
        <v>5</v>
      </c>
      <c r="BC6" t="s">
        <v>58</v>
      </c>
      <c r="BG6" t="s">
        <v>90</v>
      </c>
      <c r="BH6">
        <v>6</v>
      </c>
      <c r="BK6" t="s">
        <v>91</v>
      </c>
    </row>
    <row r="7" spans="2:67" ht="6" customHeight="1" thickBot="1" x14ac:dyDescent="0.3">
      <c r="D7" s="46"/>
      <c r="BK7" t="s">
        <v>77</v>
      </c>
    </row>
    <row r="8" spans="2:67" s="50" customFormat="1" ht="19.5" thickBot="1" x14ac:dyDescent="0.35">
      <c r="D8" s="51" t="s">
        <v>55</v>
      </c>
      <c r="E8" s="271" t="s">
        <v>105</v>
      </c>
      <c r="F8" s="272"/>
      <c r="G8" s="273"/>
      <c r="L8" s="114" t="s">
        <v>70</v>
      </c>
      <c r="M8" s="115"/>
      <c r="BK8" t="s">
        <v>81</v>
      </c>
    </row>
    <row r="9" spans="2:67" s="50" customFormat="1" ht="19.5" thickBot="1" x14ac:dyDescent="0.35">
      <c r="D9" s="51" t="s">
        <v>59</v>
      </c>
      <c r="E9" s="280"/>
      <c r="F9" s="281"/>
      <c r="G9" s="282"/>
      <c r="BK9" t="s">
        <v>110</v>
      </c>
    </row>
    <row r="10" spans="2:67" ht="15.75" thickBot="1" x14ac:dyDescent="0.3">
      <c r="G10" s="26"/>
      <c r="H10" s="22"/>
      <c r="J10" s="27"/>
      <c r="K10" s="27"/>
      <c r="L10" s="2"/>
      <c r="BK10" t="s">
        <v>111</v>
      </c>
    </row>
    <row r="11" spans="2:67" ht="19.5" hidden="1" thickBot="1" x14ac:dyDescent="0.3">
      <c r="G11" s="308" t="s">
        <v>31</v>
      </c>
      <c r="H11" s="309"/>
      <c r="I11" s="309"/>
      <c r="J11" s="309"/>
      <c r="K11" s="309"/>
      <c r="L11" s="309"/>
      <c r="M11" s="310"/>
      <c r="O11" s="308" t="s">
        <v>31</v>
      </c>
      <c r="P11" s="309"/>
      <c r="Q11" s="310"/>
      <c r="AF11" s="30" t="s">
        <v>31</v>
      </c>
    </row>
    <row r="12" spans="2:67" ht="19.5" hidden="1" customHeight="1" thickBot="1" x14ac:dyDescent="0.3">
      <c r="D12" s="283"/>
      <c r="E12" s="284"/>
      <c r="G12" s="289" t="s">
        <v>29</v>
      </c>
      <c r="H12" s="290"/>
      <c r="L12" s="289" t="s">
        <v>29</v>
      </c>
      <c r="M12" s="314"/>
      <c r="N12" s="304"/>
      <c r="R12" s="302" t="s">
        <v>29</v>
      </c>
      <c r="S12" s="303"/>
      <c r="T12" s="303"/>
      <c r="U12" s="303"/>
      <c r="V12" s="303"/>
      <c r="W12" s="303"/>
      <c r="X12" s="304"/>
      <c r="Y12" s="154"/>
      <c r="AE12" s="29" t="s">
        <v>29</v>
      </c>
    </row>
    <row r="13" spans="2:67" ht="19.5" hidden="1" thickBot="1" x14ac:dyDescent="0.35">
      <c r="D13" s="285" t="s">
        <v>25</v>
      </c>
      <c r="E13" s="286"/>
      <c r="F13" s="287"/>
      <c r="G13" s="287"/>
      <c r="H13" s="287"/>
      <c r="I13" s="287"/>
      <c r="J13" s="287"/>
      <c r="K13" s="288"/>
      <c r="Q13" s="311" t="s">
        <v>25</v>
      </c>
      <c r="R13" s="312"/>
      <c r="S13" s="313"/>
    </row>
    <row r="14" spans="2:67" s="34" customFormat="1" ht="19.5" thickBot="1" x14ac:dyDescent="0.3">
      <c r="D14" s="291" t="s">
        <v>44</v>
      </c>
      <c r="E14" s="292"/>
      <c r="F14" s="209"/>
      <c r="G14" s="293" t="s">
        <v>10</v>
      </c>
      <c r="H14" s="294"/>
      <c r="I14" s="294"/>
      <c r="J14" s="294"/>
      <c r="K14" s="294"/>
      <c r="L14" s="294"/>
      <c r="M14" s="294"/>
      <c r="N14" s="294"/>
      <c r="O14" s="294"/>
      <c r="P14" s="294"/>
      <c r="Q14" s="295"/>
      <c r="R14" s="299" t="s">
        <v>12</v>
      </c>
      <c r="S14" s="300"/>
      <c r="T14" s="300"/>
      <c r="U14" s="300"/>
      <c r="V14" s="300"/>
      <c r="W14" s="300"/>
      <c r="X14" s="300"/>
      <c r="Y14" s="300"/>
      <c r="Z14" s="300"/>
      <c r="AA14" s="301"/>
      <c r="AB14" s="296" t="s">
        <v>11</v>
      </c>
      <c r="AC14" s="297"/>
      <c r="AD14" s="298"/>
      <c r="AE14" s="305" t="s">
        <v>32</v>
      </c>
      <c r="AF14" s="306"/>
      <c r="AG14" s="306"/>
      <c r="AH14" s="306"/>
      <c r="AI14" s="307"/>
      <c r="BK14"/>
    </row>
    <row r="15" spans="2:67" ht="30" x14ac:dyDescent="0.25">
      <c r="B15" s="71" t="s">
        <v>25</v>
      </c>
      <c r="C15" s="6" t="s">
        <v>1</v>
      </c>
      <c r="D15" s="116" t="s">
        <v>0</v>
      </c>
      <c r="E15" s="117" t="s">
        <v>50</v>
      </c>
      <c r="F15" s="91"/>
      <c r="G15" s="89" t="s">
        <v>0</v>
      </c>
      <c r="H15" s="74" t="s">
        <v>50</v>
      </c>
      <c r="I15" s="74" t="s">
        <v>6</v>
      </c>
      <c r="J15" s="74" t="s">
        <v>7</v>
      </c>
      <c r="K15" s="74" t="s">
        <v>57</v>
      </c>
      <c r="L15" s="74" t="s">
        <v>51</v>
      </c>
      <c r="M15" s="75" t="s">
        <v>8</v>
      </c>
      <c r="N15" s="75" t="s">
        <v>2</v>
      </c>
      <c r="O15" s="76" t="s">
        <v>15</v>
      </c>
      <c r="P15" s="76" t="s">
        <v>24</v>
      </c>
      <c r="Q15" s="72" t="s">
        <v>43</v>
      </c>
      <c r="R15" s="73" t="s">
        <v>52</v>
      </c>
      <c r="S15" s="77" t="s">
        <v>9</v>
      </c>
      <c r="T15" s="77" t="s">
        <v>19</v>
      </c>
      <c r="U15" s="77" t="s">
        <v>53</v>
      </c>
      <c r="V15" s="77" t="s">
        <v>16</v>
      </c>
      <c r="W15" s="77" t="s">
        <v>106</v>
      </c>
      <c r="X15" s="77" t="s">
        <v>18</v>
      </c>
      <c r="Y15" s="77" t="s">
        <v>107</v>
      </c>
      <c r="Z15" s="74" t="s">
        <v>54</v>
      </c>
      <c r="AA15" s="78" t="s">
        <v>20</v>
      </c>
      <c r="AB15" s="73" t="s">
        <v>13</v>
      </c>
      <c r="AC15" s="74" t="s">
        <v>14</v>
      </c>
      <c r="AD15" s="79" t="s">
        <v>17</v>
      </c>
      <c r="AE15" s="240" t="s">
        <v>33</v>
      </c>
      <c r="AF15" s="241" t="s">
        <v>116</v>
      </c>
      <c r="AG15" s="242" t="s">
        <v>34</v>
      </c>
      <c r="AH15" s="241" t="s">
        <v>211</v>
      </c>
      <c r="AI15" s="243" t="s">
        <v>212</v>
      </c>
      <c r="BK15" s="34"/>
    </row>
    <row r="16" spans="2:67" ht="15.75" x14ac:dyDescent="0.25">
      <c r="B16" s="71" t="s">
        <v>63</v>
      </c>
      <c r="C16" s="6">
        <v>1</v>
      </c>
      <c r="D16" s="118" t="s">
        <v>79</v>
      </c>
      <c r="E16" s="119">
        <v>10</v>
      </c>
      <c r="F16" s="92"/>
      <c r="G16" s="90" t="s">
        <v>114</v>
      </c>
      <c r="H16" s="88">
        <v>9</v>
      </c>
      <c r="I16" s="28" t="s">
        <v>65</v>
      </c>
      <c r="J16" s="28" t="s">
        <v>141</v>
      </c>
      <c r="K16" s="28" t="s">
        <v>66</v>
      </c>
      <c r="L16" s="233">
        <v>1.5</v>
      </c>
      <c r="M16" s="234">
        <f>H16*L16</f>
        <v>13.5</v>
      </c>
      <c r="N16" s="161">
        <f t="shared" ref="N16" si="0">M16*$J$3</f>
        <v>812.94609149999997</v>
      </c>
      <c r="O16" s="54" t="s">
        <v>68</v>
      </c>
      <c r="P16" s="53" t="s">
        <v>86</v>
      </c>
      <c r="Q16" s="55" t="s">
        <v>80</v>
      </c>
      <c r="R16" s="236">
        <v>2.8</v>
      </c>
      <c r="S16" s="237">
        <f>R16*H16</f>
        <v>25.2</v>
      </c>
      <c r="T16" s="8">
        <f t="shared" ref="T16:T25" si="1">IFERROR((S16/M16-1), 0)</f>
        <v>0.8666666666666667</v>
      </c>
      <c r="U16" s="16">
        <f t="shared" ref="U16:U25" si="2">$J$3*R16</f>
        <v>168.61104119999999</v>
      </c>
      <c r="V16" s="159">
        <f>U16*H16</f>
        <v>1517.4993708</v>
      </c>
      <c r="W16" s="159">
        <f>(V16-N16)/118*18</f>
        <v>107.47422904576271</v>
      </c>
      <c r="X16" s="8">
        <f>IFERROR(V16/(M16*$J$4)-1,0)</f>
        <v>0.8666666666666667</v>
      </c>
      <c r="Y16" s="155">
        <f>IF(V16&gt;0,V16-N16/92*100-W16,0)</f>
        <v>526.38808577597638</v>
      </c>
      <c r="Z16" s="17"/>
      <c r="AA16" s="18">
        <f>Z16*H16</f>
        <v>0</v>
      </c>
      <c r="AB16" s="7"/>
      <c r="AC16" s="1">
        <v>3.0150000000000001</v>
      </c>
      <c r="AD16" s="36"/>
      <c r="AE16" s="104" t="s">
        <v>217</v>
      </c>
      <c r="AF16" s="184">
        <v>42340</v>
      </c>
      <c r="AG16" s="239"/>
      <c r="AH16" s="245"/>
      <c r="AI16" s="246">
        <f>AH16*H16</f>
        <v>0</v>
      </c>
    </row>
    <row r="17" spans="2:35" ht="15.75" x14ac:dyDescent="0.25">
      <c r="B17" s="71"/>
      <c r="C17" s="6">
        <v>2</v>
      </c>
      <c r="D17" s="118"/>
      <c r="E17" s="119"/>
      <c r="F17" s="92"/>
      <c r="G17" s="90"/>
      <c r="H17" s="88"/>
      <c r="I17" s="28"/>
      <c r="J17" s="28"/>
      <c r="K17" s="28"/>
      <c r="L17" s="233"/>
      <c r="M17" s="234">
        <f t="shared" ref="M17:M25" si="3">H17*L17</f>
        <v>0</v>
      </c>
      <c r="N17" s="161">
        <f t="shared" ref="N17:N25" si="4">M17*$J$3</f>
        <v>0</v>
      </c>
      <c r="O17" s="53"/>
      <c r="P17" s="53"/>
      <c r="Q17" s="55"/>
      <c r="R17" s="236"/>
      <c r="S17" s="237">
        <f t="shared" ref="S17:S25" si="5">R17*H17</f>
        <v>0</v>
      </c>
      <c r="T17" s="8">
        <f t="shared" si="1"/>
        <v>0</v>
      </c>
      <c r="U17" s="16">
        <f t="shared" si="2"/>
        <v>0</v>
      </c>
      <c r="V17" s="159">
        <f t="shared" ref="V17:V25" si="6">U17*H17</f>
        <v>0</v>
      </c>
      <c r="W17" s="159">
        <f t="shared" ref="W17:W25" si="7">(V17-N17)/118*18</f>
        <v>0</v>
      </c>
      <c r="X17" s="8">
        <f t="shared" ref="X17:X25" si="8">IFERROR(V17/(M17*$J$4)-1,0)</f>
        <v>0</v>
      </c>
      <c r="Y17" s="155">
        <f t="shared" ref="Y17:Y25" si="9">IF(V17&gt;0,V17-N17/92*100-W17,0)</f>
        <v>0</v>
      </c>
      <c r="Z17" s="17"/>
      <c r="AA17" s="18">
        <f t="shared" ref="AA17:AA19" si="10">Z17*H17</f>
        <v>0</v>
      </c>
      <c r="AB17" s="7"/>
      <c r="AC17" s="1"/>
      <c r="AD17" s="36"/>
      <c r="AE17" s="104"/>
      <c r="AF17" s="105"/>
      <c r="AG17" s="239"/>
      <c r="AH17" s="245"/>
      <c r="AI17" s="246">
        <f t="shared" ref="AI17:AI25" si="11">AH17*H17</f>
        <v>0</v>
      </c>
    </row>
    <row r="18" spans="2:35" ht="15.75" x14ac:dyDescent="0.25">
      <c r="B18" s="71"/>
      <c r="C18" s="6">
        <v>3</v>
      </c>
      <c r="D18" s="118"/>
      <c r="E18" s="119"/>
      <c r="F18" s="92"/>
      <c r="G18" s="90"/>
      <c r="H18" s="88"/>
      <c r="I18" s="28"/>
      <c r="J18" s="28"/>
      <c r="K18" s="28"/>
      <c r="L18" s="233"/>
      <c r="M18" s="234">
        <f t="shared" si="3"/>
        <v>0</v>
      </c>
      <c r="N18" s="161">
        <f t="shared" si="4"/>
        <v>0</v>
      </c>
      <c r="O18" s="53"/>
      <c r="P18" s="53"/>
      <c r="Q18" s="55"/>
      <c r="R18" s="236"/>
      <c r="S18" s="237">
        <f t="shared" si="5"/>
        <v>0</v>
      </c>
      <c r="T18" s="8">
        <f t="shared" si="1"/>
        <v>0</v>
      </c>
      <c r="U18" s="16">
        <f t="shared" si="2"/>
        <v>0</v>
      </c>
      <c r="V18" s="159">
        <f t="shared" si="6"/>
        <v>0</v>
      </c>
      <c r="W18" s="159">
        <f t="shared" si="7"/>
        <v>0</v>
      </c>
      <c r="X18" s="8">
        <f t="shared" si="8"/>
        <v>0</v>
      </c>
      <c r="Y18" s="155">
        <f t="shared" si="9"/>
        <v>0</v>
      </c>
      <c r="Z18" s="17"/>
      <c r="AA18" s="18">
        <f t="shared" si="10"/>
        <v>0</v>
      </c>
      <c r="AB18" s="7"/>
      <c r="AC18" s="1"/>
      <c r="AD18" s="36"/>
      <c r="AE18" s="104"/>
      <c r="AF18" s="105"/>
      <c r="AG18" s="239"/>
      <c r="AH18" s="245"/>
      <c r="AI18" s="246">
        <f t="shared" si="11"/>
        <v>0</v>
      </c>
    </row>
    <row r="19" spans="2:35" ht="15.75" x14ac:dyDescent="0.25">
      <c r="B19" s="71"/>
      <c r="C19" s="6">
        <v>4</v>
      </c>
      <c r="D19" s="118"/>
      <c r="E19" s="119"/>
      <c r="F19" s="92"/>
      <c r="G19" s="90"/>
      <c r="H19" s="88"/>
      <c r="I19" s="28"/>
      <c r="J19" s="28"/>
      <c r="K19" s="28"/>
      <c r="L19" s="233"/>
      <c r="M19" s="234">
        <f t="shared" si="3"/>
        <v>0</v>
      </c>
      <c r="N19" s="161">
        <f t="shared" si="4"/>
        <v>0</v>
      </c>
      <c r="O19" s="53"/>
      <c r="P19" s="53"/>
      <c r="Q19" s="55"/>
      <c r="R19" s="236"/>
      <c r="S19" s="237">
        <f t="shared" si="5"/>
        <v>0</v>
      </c>
      <c r="T19" s="8">
        <f t="shared" si="1"/>
        <v>0</v>
      </c>
      <c r="U19" s="16">
        <f t="shared" si="2"/>
        <v>0</v>
      </c>
      <c r="V19" s="159">
        <f t="shared" si="6"/>
        <v>0</v>
      </c>
      <c r="W19" s="159">
        <f t="shared" si="7"/>
        <v>0</v>
      </c>
      <c r="X19" s="8">
        <f t="shared" si="8"/>
        <v>0</v>
      </c>
      <c r="Y19" s="155">
        <f t="shared" si="9"/>
        <v>0</v>
      </c>
      <c r="Z19" s="17"/>
      <c r="AA19" s="18">
        <f t="shared" si="10"/>
        <v>0</v>
      </c>
      <c r="AB19" s="7"/>
      <c r="AC19" s="1"/>
      <c r="AD19" s="36"/>
      <c r="AE19" s="104"/>
      <c r="AF19" s="105"/>
      <c r="AG19" s="239"/>
      <c r="AH19" s="245"/>
      <c r="AI19" s="246">
        <f t="shared" si="11"/>
        <v>0</v>
      </c>
    </row>
    <row r="20" spans="2:35" ht="15.75" x14ac:dyDescent="0.25">
      <c r="B20" s="71"/>
      <c r="C20" s="6">
        <v>5</v>
      </c>
      <c r="D20" s="118"/>
      <c r="E20" s="119"/>
      <c r="F20" s="92"/>
      <c r="G20" s="90"/>
      <c r="H20" s="88"/>
      <c r="I20" s="28"/>
      <c r="J20" s="28"/>
      <c r="K20" s="28"/>
      <c r="L20" s="233"/>
      <c r="M20" s="234">
        <f t="shared" si="3"/>
        <v>0</v>
      </c>
      <c r="N20" s="161">
        <f t="shared" si="4"/>
        <v>0</v>
      </c>
      <c r="O20" s="53"/>
      <c r="P20" s="53"/>
      <c r="Q20" s="55"/>
      <c r="R20" s="236"/>
      <c r="S20" s="237">
        <f t="shared" si="5"/>
        <v>0</v>
      </c>
      <c r="T20" s="8">
        <f t="shared" si="1"/>
        <v>0</v>
      </c>
      <c r="U20" s="16">
        <f t="shared" si="2"/>
        <v>0</v>
      </c>
      <c r="V20" s="159">
        <f t="shared" si="6"/>
        <v>0</v>
      </c>
      <c r="W20" s="159">
        <f t="shared" si="7"/>
        <v>0</v>
      </c>
      <c r="X20" s="8">
        <f t="shared" si="8"/>
        <v>0</v>
      </c>
      <c r="Y20" s="155">
        <f t="shared" si="9"/>
        <v>0</v>
      </c>
      <c r="Z20" s="17"/>
      <c r="AA20" s="18"/>
      <c r="AB20" s="7"/>
      <c r="AC20" s="1"/>
      <c r="AD20" s="36"/>
      <c r="AE20" s="104"/>
      <c r="AF20" s="105"/>
      <c r="AG20" s="239"/>
      <c r="AH20" s="245"/>
      <c r="AI20" s="246">
        <f t="shared" si="11"/>
        <v>0</v>
      </c>
    </row>
    <row r="21" spans="2:35" ht="15.75" x14ac:dyDescent="0.25">
      <c r="B21" s="71"/>
      <c r="C21" s="6">
        <v>6</v>
      </c>
      <c r="D21" s="118"/>
      <c r="E21" s="119"/>
      <c r="F21" s="92"/>
      <c r="G21" s="90"/>
      <c r="H21" s="88"/>
      <c r="I21" s="28"/>
      <c r="J21" s="28"/>
      <c r="K21" s="28"/>
      <c r="L21" s="233"/>
      <c r="M21" s="234">
        <f t="shared" si="3"/>
        <v>0</v>
      </c>
      <c r="N21" s="161">
        <f t="shared" si="4"/>
        <v>0</v>
      </c>
      <c r="O21" s="53"/>
      <c r="P21" s="53"/>
      <c r="Q21" s="55"/>
      <c r="R21" s="236"/>
      <c r="S21" s="237">
        <f t="shared" si="5"/>
        <v>0</v>
      </c>
      <c r="T21" s="8">
        <f t="shared" si="1"/>
        <v>0</v>
      </c>
      <c r="U21" s="16">
        <f t="shared" si="2"/>
        <v>0</v>
      </c>
      <c r="V21" s="159">
        <f t="shared" si="6"/>
        <v>0</v>
      </c>
      <c r="W21" s="159">
        <f t="shared" si="7"/>
        <v>0</v>
      </c>
      <c r="X21" s="8">
        <f t="shared" si="8"/>
        <v>0</v>
      </c>
      <c r="Y21" s="155">
        <f t="shared" si="9"/>
        <v>0</v>
      </c>
      <c r="Z21" s="17"/>
      <c r="AA21" s="18"/>
      <c r="AB21" s="7"/>
      <c r="AC21" s="1"/>
      <c r="AD21" s="36"/>
      <c r="AE21" s="104"/>
      <c r="AF21" s="105"/>
      <c r="AG21" s="239"/>
      <c r="AH21" s="245"/>
      <c r="AI21" s="246">
        <f t="shared" si="11"/>
        <v>0</v>
      </c>
    </row>
    <row r="22" spans="2:35" ht="15.75" x14ac:dyDescent="0.25">
      <c r="B22" s="71"/>
      <c r="C22" s="6">
        <v>7</v>
      </c>
      <c r="D22" s="118"/>
      <c r="E22" s="119"/>
      <c r="F22" s="92"/>
      <c r="G22" s="90"/>
      <c r="H22" s="88"/>
      <c r="I22" s="28"/>
      <c r="J22" s="28"/>
      <c r="K22" s="28"/>
      <c r="L22" s="233"/>
      <c r="M22" s="234">
        <f t="shared" si="3"/>
        <v>0</v>
      </c>
      <c r="N22" s="161">
        <f t="shared" si="4"/>
        <v>0</v>
      </c>
      <c r="O22" s="53"/>
      <c r="P22" s="53"/>
      <c r="Q22" s="55"/>
      <c r="R22" s="236"/>
      <c r="S22" s="237">
        <f t="shared" si="5"/>
        <v>0</v>
      </c>
      <c r="T22" s="8">
        <f t="shared" si="1"/>
        <v>0</v>
      </c>
      <c r="U22" s="16">
        <f t="shared" si="2"/>
        <v>0</v>
      </c>
      <c r="V22" s="159">
        <f t="shared" si="6"/>
        <v>0</v>
      </c>
      <c r="W22" s="159">
        <f t="shared" si="7"/>
        <v>0</v>
      </c>
      <c r="X22" s="8">
        <f t="shared" si="8"/>
        <v>0</v>
      </c>
      <c r="Y22" s="155">
        <f t="shared" si="9"/>
        <v>0</v>
      </c>
      <c r="Z22" s="17"/>
      <c r="AA22" s="18"/>
      <c r="AB22" s="7"/>
      <c r="AC22" s="1"/>
      <c r="AD22" s="36"/>
      <c r="AE22" s="104"/>
      <c r="AF22" s="105"/>
      <c r="AG22" s="239"/>
      <c r="AH22" s="245"/>
      <c r="AI22" s="246">
        <f t="shared" si="11"/>
        <v>0</v>
      </c>
    </row>
    <row r="23" spans="2:35" ht="15.75" x14ac:dyDescent="0.25">
      <c r="B23" s="71"/>
      <c r="C23" s="6">
        <v>8</v>
      </c>
      <c r="D23" s="118"/>
      <c r="E23" s="119"/>
      <c r="F23" s="92"/>
      <c r="G23" s="90"/>
      <c r="H23" s="88"/>
      <c r="I23" s="28"/>
      <c r="J23" s="28"/>
      <c r="K23" s="28"/>
      <c r="L23" s="233"/>
      <c r="M23" s="234">
        <f t="shared" si="3"/>
        <v>0</v>
      </c>
      <c r="N23" s="161">
        <f t="shared" si="4"/>
        <v>0</v>
      </c>
      <c r="O23" s="53"/>
      <c r="P23" s="53"/>
      <c r="Q23" s="55"/>
      <c r="R23" s="236"/>
      <c r="S23" s="237">
        <f t="shared" si="5"/>
        <v>0</v>
      </c>
      <c r="T23" s="8">
        <f t="shared" si="1"/>
        <v>0</v>
      </c>
      <c r="U23" s="16">
        <f t="shared" si="2"/>
        <v>0</v>
      </c>
      <c r="V23" s="159">
        <f t="shared" si="6"/>
        <v>0</v>
      </c>
      <c r="W23" s="159">
        <f t="shared" si="7"/>
        <v>0</v>
      </c>
      <c r="X23" s="8">
        <f t="shared" si="8"/>
        <v>0</v>
      </c>
      <c r="Y23" s="155">
        <f t="shared" si="9"/>
        <v>0</v>
      </c>
      <c r="Z23" s="17"/>
      <c r="AA23" s="18"/>
      <c r="AB23" s="7"/>
      <c r="AC23" s="1"/>
      <c r="AD23" s="36"/>
      <c r="AE23" s="104"/>
      <c r="AF23" s="105"/>
      <c r="AG23" s="239"/>
      <c r="AH23" s="245"/>
      <c r="AI23" s="246">
        <f t="shared" si="11"/>
        <v>0</v>
      </c>
    </row>
    <row r="24" spans="2:35" ht="15.75" x14ac:dyDescent="0.25">
      <c r="B24" s="71"/>
      <c r="C24" s="6">
        <v>9</v>
      </c>
      <c r="D24" s="118"/>
      <c r="E24" s="119"/>
      <c r="F24" s="92"/>
      <c r="G24" s="90"/>
      <c r="H24" s="88"/>
      <c r="I24" s="28"/>
      <c r="J24" s="28"/>
      <c r="K24" s="28"/>
      <c r="L24" s="233"/>
      <c r="M24" s="234">
        <f t="shared" si="3"/>
        <v>0</v>
      </c>
      <c r="N24" s="161">
        <f t="shared" si="4"/>
        <v>0</v>
      </c>
      <c r="O24" s="53"/>
      <c r="P24" s="53"/>
      <c r="Q24" s="55"/>
      <c r="R24" s="236"/>
      <c r="S24" s="237">
        <f t="shared" si="5"/>
        <v>0</v>
      </c>
      <c r="T24" s="8">
        <f t="shared" si="1"/>
        <v>0</v>
      </c>
      <c r="U24" s="16">
        <f t="shared" si="2"/>
        <v>0</v>
      </c>
      <c r="V24" s="159">
        <f t="shared" si="6"/>
        <v>0</v>
      </c>
      <c r="W24" s="159">
        <f t="shared" si="7"/>
        <v>0</v>
      </c>
      <c r="X24" s="8">
        <f t="shared" si="8"/>
        <v>0</v>
      </c>
      <c r="Y24" s="155">
        <f t="shared" si="9"/>
        <v>0</v>
      </c>
      <c r="Z24" s="17"/>
      <c r="AA24" s="18"/>
      <c r="AB24" s="7"/>
      <c r="AC24" s="1"/>
      <c r="AD24" s="36"/>
      <c r="AE24" s="104"/>
      <c r="AF24" s="105"/>
      <c r="AG24" s="239"/>
      <c r="AH24" s="245"/>
      <c r="AI24" s="246">
        <f t="shared" si="11"/>
        <v>0</v>
      </c>
    </row>
    <row r="25" spans="2:35" ht="16.5" thickBot="1" x14ac:dyDescent="0.3">
      <c r="B25" s="71"/>
      <c r="C25" s="6">
        <v>10</v>
      </c>
      <c r="D25" s="118"/>
      <c r="E25" s="119"/>
      <c r="F25" s="210"/>
      <c r="G25" s="90"/>
      <c r="H25" s="88"/>
      <c r="I25" s="28"/>
      <c r="J25" s="28"/>
      <c r="K25" s="28"/>
      <c r="L25" s="233"/>
      <c r="M25" s="234">
        <f t="shared" si="3"/>
        <v>0</v>
      </c>
      <c r="N25" s="161">
        <f t="shared" si="4"/>
        <v>0</v>
      </c>
      <c r="O25" s="53"/>
      <c r="P25" s="53"/>
      <c r="Q25" s="55"/>
      <c r="R25" s="236"/>
      <c r="S25" s="237">
        <f t="shared" si="5"/>
        <v>0</v>
      </c>
      <c r="T25" s="8">
        <f t="shared" si="1"/>
        <v>0</v>
      </c>
      <c r="U25" s="16">
        <f t="shared" si="2"/>
        <v>0</v>
      </c>
      <c r="V25" s="159">
        <f t="shared" si="6"/>
        <v>0</v>
      </c>
      <c r="W25" s="159">
        <f t="shared" si="7"/>
        <v>0</v>
      </c>
      <c r="X25" s="8">
        <f t="shared" si="8"/>
        <v>0</v>
      </c>
      <c r="Y25" s="155">
        <f t="shared" si="9"/>
        <v>0</v>
      </c>
      <c r="Z25" s="17"/>
      <c r="AA25" s="18"/>
      <c r="AB25" s="7"/>
      <c r="AC25" s="1"/>
      <c r="AD25" s="36"/>
      <c r="AE25" s="104"/>
      <c r="AF25" s="105"/>
      <c r="AG25" s="239"/>
      <c r="AH25" s="245"/>
      <c r="AI25" s="247">
        <f t="shared" si="11"/>
        <v>0</v>
      </c>
    </row>
    <row r="26" spans="2:35" ht="15.75" thickBot="1" x14ac:dyDescent="0.3">
      <c r="M26" s="235">
        <f>SUM(M16:M25)</f>
        <v>13.5</v>
      </c>
      <c r="N26" s="162">
        <f>SUM(N16:N25)</f>
        <v>812.94609149999997</v>
      </c>
      <c r="S26" s="238">
        <f>SUM(S16:S25)</f>
        <v>25.2</v>
      </c>
      <c r="T26" s="58">
        <f>IFERROR((S26/M26-1),0)</f>
        <v>0.8666666666666667</v>
      </c>
      <c r="V26" s="163">
        <f>SUM(V16:V25)</f>
        <v>1517.4993708</v>
      </c>
      <c r="W26" s="160">
        <f>(V26-N26)/118*18</f>
        <v>107.47422904576271</v>
      </c>
      <c r="X26" s="156">
        <f>IFERROR(V26/(M26*$J$4)-1,0)</f>
        <v>0.8666666666666667</v>
      </c>
      <c r="Y26" s="157">
        <f>SUM(Y16:Y25)-$M$4-$M$6*$J$3</f>
        <v>225.2969407759764</v>
      </c>
      <c r="AA26" s="70">
        <f>SUM(AA16:AA25)</f>
        <v>0</v>
      </c>
      <c r="AI26" s="244">
        <f>SUM(AI16:AI25)</f>
        <v>0</v>
      </c>
    </row>
    <row r="27" spans="2:35" x14ac:dyDescent="0.25">
      <c r="C27" s="32"/>
      <c r="D27" s="276" t="s">
        <v>22</v>
      </c>
      <c r="E27" s="277"/>
      <c r="F27" s="38"/>
      <c r="G27" s="4"/>
      <c r="H27" s="4"/>
      <c r="I27" s="4"/>
      <c r="J27" s="4"/>
      <c r="K27" s="4"/>
    </row>
    <row r="28" spans="2:35" ht="15.75" x14ac:dyDescent="0.25">
      <c r="C28" s="32"/>
      <c r="D28" s="23" t="s">
        <v>8</v>
      </c>
      <c r="E28" s="24">
        <f>M26</f>
        <v>13.5</v>
      </c>
      <c r="F28" s="39"/>
      <c r="G28" s="5"/>
      <c r="H28" s="5"/>
      <c r="I28" s="37"/>
      <c r="J28" s="5"/>
      <c r="K28" s="5"/>
    </row>
    <row r="29" spans="2:35" x14ac:dyDescent="0.25">
      <c r="C29" s="32"/>
      <c r="D29" s="23" t="s">
        <v>9</v>
      </c>
      <c r="E29" s="24">
        <f>S26</f>
        <v>25.2</v>
      </c>
      <c r="F29" s="39"/>
      <c r="J29" s="124"/>
      <c r="Y29" t="s">
        <v>109</v>
      </c>
    </row>
    <row r="30" spans="2:35" x14ac:dyDescent="0.25">
      <c r="C30" s="32"/>
      <c r="D30" s="23" t="s">
        <v>35</v>
      </c>
      <c r="E30" s="24">
        <f>S26-M26</f>
        <v>11.7</v>
      </c>
      <c r="F30" s="39"/>
    </row>
    <row r="31" spans="2:35" ht="15.75" thickBot="1" x14ac:dyDescent="0.3">
      <c r="C31" s="32"/>
      <c r="D31" s="25" t="s">
        <v>36</v>
      </c>
      <c r="E31" s="31">
        <f>IFERROR((E29/E28-1),0)</f>
        <v>0.8666666666666667</v>
      </c>
      <c r="F31" s="40"/>
      <c r="M31" s="2"/>
      <c r="N31" s="2"/>
    </row>
    <row r="32" spans="2:35" ht="15.75" thickBot="1" x14ac:dyDescent="0.3">
      <c r="C32" s="32"/>
      <c r="D32" s="3"/>
      <c r="E32" s="5"/>
      <c r="F32" s="41"/>
      <c r="G32" s="97"/>
      <c r="H32" s="98"/>
      <c r="I32" s="96"/>
      <c r="J32" s="99"/>
      <c r="K32" s="99"/>
      <c r="L32" s="96"/>
      <c r="M32" s="96"/>
      <c r="N32" s="96"/>
      <c r="O32" s="100"/>
      <c r="P32" s="100"/>
      <c r="Q32" s="100"/>
      <c r="R32" s="100"/>
    </row>
    <row r="33" spans="3:18" x14ac:dyDescent="0.25">
      <c r="C33" s="32"/>
      <c r="D33" s="278" t="s">
        <v>23</v>
      </c>
      <c r="E33" s="279"/>
      <c r="F33" s="38"/>
      <c r="G33" s="101"/>
      <c r="H33" s="101"/>
      <c r="I33" s="96"/>
      <c r="J33" s="96"/>
      <c r="K33" s="96"/>
      <c r="L33" s="100"/>
      <c r="M33" s="96"/>
      <c r="N33" s="96"/>
      <c r="O33" s="100"/>
      <c r="P33" s="100"/>
      <c r="Q33" s="100"/>
      <c r="R33" s="100"/>
    </row>
    <row r="34" spans="3:18" x14ac:dyDescent="0.25">
      <c r="C34" s="32"/>
      <c r="D34" s="9" t="s">
        <v>62</v>
      </c>
      <c r="E34" s="19">
        <f>N26</f>
        <v>812.94609149999997</v>
      </c>
      <c r="F34" s="42"/>
      <c r="G34" s="96"/>
      <c r="H34" s="96"/>
      <c r="I34" s="96"/>
      <c r="J34" s="96"/>
      <c r="K34" s="96"/>
      <c r="L34" s="100"/>
      <c r="M34" s="96"/>
      <c r="N34" s="96"/>
      <c r="O34" s="100"/>
      <c r="P34" s="100"/>
      <c r="Q34" s="100"/>
      <c r="R34" s="100"/>
    </row>
    <row r="35" spans="3:18" x14ac:dyDescent="0.25">
      <c r="C35" s="32"/>
      <c r="D35" s="9" t="s">
        <v>3</v>
      </c>
      <c r="E35" s="19">
        <f>V26</f>
        <v>1517.4993708</v>
      </c>
      <c r="F35" s="42"/>
      <c r="G35" s="96"/>
      <c r="H35" s="96"/>
      <c r="I35" s="96"/>
      <c r="J35" s="96"/>
      <c r="K35" s="96"/>
      <c r="L35" s="100"/>
      <c r="M35" s="96"/>
      <c r="N35" s="96"/>
      <c r="O35" s="100"/>
      <c r="P35" s="100"/>
      <c r="Q35" s="100"/>
      <c r="R35" s="100"/>
    </row>
    <row r="36" spans="3:18" x14ac:dyDescent="0.25">
      <c r="C36" s="32"/>
      <c r="D36" s="9" t="s">
        <v>37</v>
      </c>
      <c r="E36" s="19">
        <f>V26-N26</f>
        <v>704.55327929999999</v>
      </c>
      <c r="F36" s="42"/>
      <c r="G36" s="96"/>
      <c r="H36" s="96"/>
      <c r="I36" s="96"/>
      <c r="J36" s="96"/>
      <c r="K36" s="96"/>
      <c r="L36" s="100"/>
      <c r="M36" s="96"/>
      <c r="N36" s="96"/>
      <c r="O36" s="100"/>
      <c r="P36" s="100"/>
      <c r="Q36" s="100"/>
      <c r="R36" s="100"/>
    </row>
    <row r="37" spans="3:18" ht="15.75" thickBot="1" x14ac:dyDescent="0.3">
      <c r="C37" s="32"/>
      <c r="D37" s="10" t="s">
        <v>38</v>
      </c>
      <c r="E37" s="66">
        <f>IFERROR((E35/E34-1),0)</f>
        <v>0.8666666666666667</v>
      </c>
      <c r="F37" s="41"/>
      <c r="G37" s="96"/>
      <c r="H37" s="96"/>
      <c r="I37" s="96"/>
      <c r="J37" s="96"/>
      <c r="K37" s="96"/>
      <c r="L37" s="100"/>
      <c r="M37" s="96"/>
      <c r="N37" s="96"/>
      <c r="O37" s="100"/>
      <c r="P37" s="100"/>
      <c r="Q37" s="100"/>
      <c r="R37" s="100"/>
    </row>
    <row r="38" spans="3:18" ht="15.75" thickBot="1" x14ac:dyDescent="0.3">
      <c r="C38" s="33"/>
      <c r="D38" s="3"/>
      <c r="E38" s="2"/>
      <c r="F38" s="33"/>
      <c r="G38" s="96"/>
      <c r="H38" s="96"/>
      <c r="I38" s="96"/>
      <c r="J38" s="96"/>
      <c r="K38" s="96"/>
      <c r="L38" s="96"/>
      <c r="M38" s="100"/>
      <c r="N38" s="100"/>
      <c r="O38" s="100"/>
      <c r="P38" s="100"/>
      <c r="Q38" s="100"/>
      <c r="R38" s="100"/>
    </row>
    <row r="39" spans="3:18" x14ac:dyDescent="0.25">
      <c r="C39" s="33"/>
      <c r="D39" s="274" t="s">
        <v>4</v>
      </c>
      <c r="E39" s="275"/>
      <c r="F39" s="43"/>
      <c r="G39" s="102"/>
      <c r="H39" s="102"/>
      <c r="I39" s="102"/>
      <c r="J39" s="102"/>
      <c r="K39" s="102"/>
      <c r="L39" s="96"/>
      <c r="M39" s="100"/>
      <c r="N39" s="100"/>
      <c r="O39" s="100"/>
      <c r="P39" s="100"/>
      <c r="Q39" s="100"/>
      <c r="R39" s="100"/>
    </row>
    <row r="40" spans="3:18" x14ac:dyDescent="0.25">
      <c r="C40" s="32"/>
      <c r="D40" s="11" t="s">
        <v>39</v>
      </c>
      <c r="E40" s="20">
        <f>AA26-M26</f>
        <v>-13.5</v>
      </c>
      <c r="F40" s="39"/>
      <c r="G40" s="96"/>
      <c r="H40" s="96"/>
      <c r="I40" s="96"/>
      <c r="J40" s="96"/>
      <c r="K40" s="96"/>
      <c r="L40" s="100"/>
      <c r="M40" s="100"/>
      <c r="N40" s="100"/>
      <c r="O40" s="100"/>
      <c r="P40" s="100"/>
      <c r="Q40" s="100"/>
      <c r="R40" s="100"/>
    </row>
    <row r="41" spans="3:18" x14ac:dyDescent="0.25">
      <c r="C41" s="32"/>
      <c r="D41" s="11" t="s">
        <v>40</v>
      </c>
      <c r="E41" s="15">
        <f>IFERROR((AA26/M26-1),0)</f>
        <v>-1</v>
      </c>
      <c r="F41" s="40"/>
      <c r="G41" s="96"/>
      <c r="H41" s="96"/>
      <c r="I41" s="96"/>
      <c r="J41" s="96"/>
      <c r="K41" s="96"/>
      <c r="L41" s="100"/>
      <c r="M41" s="100"/>
      <c r="N41" s="100"/>
      <c r="O41" s="100"/>
      <c r="P41" s="100"/>
      <c r="Q41" s="100"/>
      <c r="R41" s="100"/>
    </row>
    <row r="42" spans="3:18" ht="30" x14ac:dyDescent="0.25">
      <c r="C42" s="32"/>
      <c r="D42" s="12" t="s">
        <v>21</v>
      </c>
      <c r="E42" s="21">
        <f>AA26-S26</f>
        <v>-25.2</v>
      </c>
      <c r="F42" s="44"/>
      <c r="G42" s="103"/>
      <c r="H42" s="103"/>
      <c r="I42" s="103"/>
      <c r="J42" s="103"/>
      <c r="K42" s="103"/>
      <c r="L42" s="100"/>
      <c r="M42" s="100"/>
      <c r="N42" s="100"/>
      <c r="O42" s="100"/>
      <c r="P42" s="100"/>
      <c r="Q42" s="100"/>
      <c r="R42" s="100"/>
    </row>
    <row r="43" spans="3:18" ht="30.75" thickBot="1" x14ac:dyDescent="0.3">
      <c r="C43" s="32"/>
      <c r="D43" s="13" t="s">
        <v>5</v>
      </c>
      <c r="E43" s="14">
        <f>(AA26/S26-1)*100</f>
        <v>-100</v>
      </c>
      <c r="F43" s="45"/>
      <c r="G43" s="103"/>
      <c r="H43" s="103"/>
      <c r="I43" s="103"/>
      <c r="J43" s="103"/>
      <c r="K43" s="103"/>
      <c r="L43" s="100"/>
      <c r="M43" s="100"/>
      <c r="N43" s="100"/>
      <c r="O43" s="100"/>
      <c r="P43" s="100"/>
      <c r="Q43" s="100"/>
      <c r="R43" s="100"/>
    </row>
    <row r="44" spans="3:18" x14ac:dyDescent="0.25"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</row>
    <row r="45" spans="3:18" x14ac:dyDescent="0.25">
      <c r="G45" s="96"/>
      <c r="H45" s="96"/>
      <c r="I45" s="100"/>
      <c r="J45" s="100"/>
      <c r="K45" s="100"/>
      <c r="L45" s="100"/>
      <c r="M45" s="100"/>
      <c r="N45" s="100"/>
      <c r="O45" s="100"/>
      <c r="P45" s="100"/>
      <c r="Q45" s="100"/>
      <c r="R45" s="100"/>
    </row>
  </sheetData>
  <mergeCells count="27">
    <mergeCell ref="AB14:AD14"/>
    <mergeCell ref="R14:AA14"/>
    <mergeCell ref="R12:X12"/>
    <mergeCell ref="AE14:AI14"/>
    <mergeCell ref="G11:M11"/>
    <mergeCell ref="O11:Q11"/>
    <mergeCell ref="Q13:S13"/>
    <mergeCell ref="L12:N12"/>
    <mergeCell ref="E8:G8"/>
    <mergeCell ref="D39:E39"/>
    <mergeCell ref="D27:E27"/>
    <mergeCell ref="D33:E33"/>
    <mergeCell ref="E9:G9"/>
    <mergeCell ref="D12:E12"/>
    <mergeCell ref="D13:K13"/>
    <mergeCell ref="G12:H12"/>
    <mergeCell ref="D14:E14"/>
    <mergeCell ref="G14:Q14"/>
    <mergeCell ref="D2:D6"/>
    <mergeCell ref="H2:I2"/>
    <mergeCell ref="H3:I3"/>
    <mergeCell ref="H4:I4"/>
    <mergeCell ref="E2:G2"/>
    <mergeCell ref="E3:G3"/>
    <mergeCell ref="E4:G4"/>
    <mergeCell ref="E6:G6"/>
    <mergeCell ref="E5:G5"/>
  </mergeCells>
  <conditionalFormatting sqref="M5">
    <cfRule type="cellIs" dxfId="0" priority="1" operator="equal">
      <formula>0</formula>
    </cfRule>
  </conditionalFormatting>
  <dataValidations count="5">
    <dataValidation type="list" allowBlank="1" showInputMessage="1" showErrorMessage="1" sqref="B16:B25 O5">
      <formula1>$BF$3:$BF$4</formula1>
    </dataValidation>
    <dataValidation type="list" allowBlank="1" showInputMessage="1" showErrorMessage="1" sqref="P2">
      <formula1>$BH$2:$BH$6</formula1>
    </dataValidation>
    <dataValidation type="list" allowBlank="1" showInputMessage="1" showErrorMessage="1" sqref="M5">
      <formula1>$BC$3:$BC$4</formula1>
    </dataValidation>
    <dataValidation type="list" allowBlank="1" showInputMessage="1" showErrorMessage="1" sqref="P3">
      <formula1>$BG$5:$BG$6</formula1>
    </dataValidation>
    <dataValidation type="list" allowBlank="1" showInputMessage="1" showErrorMessage="1" sqref="E9:G9">
      <formula1>$BK$2:$BK$10</formula1>
    </dataValidation>
  </dataValidations>
  <hyperlinks>
    <hyperlink ref="E4" r:id="rId1"/>
    <hyperlink ref="E3" r:id="rId2"/>
  </hyperlinks>
  <pageMargins left="0.70866141732283472" right="0.70866141732283472" top="0.74803149606299213" bottom="0.74803149606299213" header="0.31496062992125984" footer="0.31496062992125984"/>
  <pageSetup paperSize="9" scale="50" orientation="landscape" r:id="rId3"/>
  <drawing r:id="rId4"/>
  <legacyDrawing r:id="rId5"/>
  <controls>
    <mc:AlternateContent xmlns:mc="http://schemas.openxmlformats.org/markup-compatibility/2006">
      <mc:Choice Requires="x14">
        <control shapeId="2075" r:id="rId6" name="CommandButton2">
          <controlPr autoLine="0" autoPict="0" r:id="rId7">
            <anchor moveWithCells="1">
              <from>
                <xdr:col>13</xdr:col>
                <xdr:colOff>152400</xdr:colOff>
                <xdr:row>1</xdr:row>
                <xdr:rowOff>47625</xdr:rowOff>
              </from>
              <to>
                <xdr:col>13</xdr:col>
                <xdr:colOff>619125</xdr:colOff>
                <xdr:row>2</xdr:row>
                <xdr:rowOff>142875</xdr:rowOff>
              </to>
            </anchor>
          </controlPr>
        </control>
      </mc:Choice>
      <mc:Fallback>
        <control shapeId="2075" r:id="rId6" name="CommandButton2"/>
      </mc:Fallback>
    </mc:AlternateContent>
    <mc:AlternateContent xmlns:mc="http://schemas.openxmlformats.org/markup-compatibility/2006">
      <mc:Choice Requires="x14">
        <control shapeId="2074" r:id="rId8" name="CommandButton1">
          <controlPr autoLine="0" r:id="rId9">
            <anchor moveWithCells="1">
              <from>
                <xdr:col>6</xdr:col>
                <xdr:colOff>1828800</xdr:colOff>
                <xdr:row>26</xdr:row>
                <xdr:rowOff>95250</xdr:rowOff>
              </from>
              <to>
                <xdr:col>6</xdr:col>
                <xdr:colOff>3238500</xdr:colOff>
                <xdr:row>30</xdr:row>
                <xdr:rowOff>9525</xdr:rowOff>
              </to>
            </anchor>
          </controlPr>
        </control>
      </mc:Choice>
      <mc:Fallback>
        <control shapeId="2074" r:id="rId8" name="CommandButton1"/>
      </mc:Fallback>
    </mc:AlternateContent>
    <mc:AlternateContent xmlns:mc="http://schemas.openxmlformats.org/markup-compatibility/2006">
      <mc:Choice Requires="x14">
        <control shapeId="2054" r:id="rId10" name="Button 6">
          <controlPr defaultSize="0" print="0" autoFill="0" autoPict="0" macro="[0]!Счет">
            <anchor moveWithCells="1">
              <from>
                <xdr:col>6</xdr:col>
                <xdr:colOff>1809750</xdr:colOff>
                <xdr:row>31</xdr:row>
                <xdr:rowOff>0</xdr:rowOff>
              </from>
              <to>
                <xdr:col>6</xdr:col>
                <xdr:colOff>3219450</xdr:colOff>
                <xdr:row>34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5" r:id="rId11" name="Button 7">
          <controlPr defaultSize="0" print="0" autoFill="0" autoPict="0" macro="[0]!закупка">
            <anchor moveWithCells="1">
              <from>
                <xdr:col>6</xdr:col>
                <xdr:colOff>1790700</xdr:colOff>
                <xdr:row>35</xdr:row>
                <xdr:rowOff>123825</xdr:rowOff>
              </from>
              <to>
                <xdr:col>6</xdr:col>
                <xdr:colOff>3190875</xdr:colOff>
                <xdr:row>39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8" r:id="rId12" name="Button 20">
          <controlPr defaultSize="0" print="0" autoFill="0" autoPict="0" macro="[0]!Плюс_10_строк">
            <anchor>
              <from>
                <xdr:col>1</xdr:col>
                <xdr:colOff>171450</xdr:colOff>
                <xdr:row>9</xdr:row>
                <xdr:rowOff>76200</xdr:rowOff>
              </from>
              <to>
                <xdr:col>2</xdr:col>
                <xdr:colOff>276225</xdr:colOff>
                <xdr:row>13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9" r:id="rId13" name="Button 21">
          <controlPr defaultSize="0" print="0" autoFill="0" autoPict="0" macro="[0]!Плюс_строка">
            <anchor>
              <from>
                <xdr:col>1</xdr:col>
                <xdr:colOff>152400</xdr:colOff>
                <xdr:row>7</xdr:row>
                <xdr:rowOff>228600</xdr:rowOff>
              </from>
              <to>
                <xdr:col>2</xdr:col>
                <xdr:colOff>266700</xdr:colOff>
                <xdr:row>8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0" r:id="rId14" name="Button 22">
          <controlPr defaultSize="0" print="0" autoFill="0" autoPict="0" macro="[0]!спецификация">
            <anchor moveWithCells="1">
              <from>
                <xdr:col>6</xdr:col>
                <xdr:colOff>1800225</xdr:colOff>
                <xdr:row>40</xdr:row>
                <xdr:rowOff>57150</xdr:rowOff>
              </from>
              <to>
                <xdr:col>6</xdr:col>
                <xdr:colOff>3200400</xdr:colOff>
                <xdr:row>42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1" r:id="rId15" name="Button 23">
          <controlPr defaultSize="0" print="0" autoFill="0" autoPict="0" macro="[0]!АГ">
            <anchor moveWithCells="1">
              <from>
                <xdr:col>6</xdr:col>
                <xdr:colOff>1800225</xdr:colOff>
                <xdr:row>43</xdr:row>
                <xdr:rowOff>57150</xdr:rowOff>
              </from>
              <to>
                <xdr:col>6</xdr:col>
                <xdr:colOff>3200400</xdr:colOff>
                <xdr:row>46</xdr:row>
                <xdr:rowOff>152400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C24"/>
  <sheetViews>
    <sheetView workbookViewId="0">
      <selection activeCell="B2" sqref="B2"/>
    </sheetView>
  </sheetViews>
  <sheetFormatPr defaultRowHeight="15" x14ac:dyDescent="0.25"/>
  <cols>
    <col min="1" max="1" width="6.140625" customWidth="1"/>
    <col min="2" max="2" width="60.42578125" style="231" customWidth="1"/>
    <col min="3" max="3" width="77.140625" style="224" customWidth="1"/>
    <col min="4" max="4" width="14.7109375" customWidth="1"/>
    <col min="5" max="5" width="21.140625" customWidth="1"/>
  </cols>
  <sheetData>
    <row r="1" spans="1:3" ht="37.5" x14ac:dyDescent="0.3">
      <c r="A1" s="222"/>
      <c r="B1" s="223" t="s">
        <v>210</v>
      </c>
    </row>
    <row r="2" spans="1:3" ht="18.75" x14ac:dyDescent="0.3">
      <c r="A2" s="222"/>
      <c r="B2" s="225" t="s">
        <v>188</v>
      </c>
      <c r="C2" s="225" t="s">
        <v>189</v>
      </c>
    </row>
    <row r="3" spans="1:3" ht="31.5" x14ac:dyDescent="0.25">
      <c r="A3" s="226">
        <v>1</v>
      </c>
      <c r="B3" s="227" t="s">
        <v>190</v>
      </c>
      <c r="C3" s="28"/>
    </row>
    <row r="4" spans="1:3" ht="15.75" x14ac:dyDescent="0.25">
      <c r="A4" s="226">
        <v>2</v>
      </c>
      <c r="B4" s="227" t="s">
        <v>191</v>
      </c>
      <c r="C4" s="28"/>
    </row>
    <row r="5" spans="1:3" ht="15.75" x14ac:dyDescent="0.25">
      <c r="A5" s="226">
        <v>3</v>
      </c>
      <c r="B5" s="227" t="s">
        <v>192</v>
      </c>
      <c r="C5" s="28"/>
    </row>
    <row r="6" spans="1:3" ht="15.75" x14ac:dyDescent="0.25">
      <c r="A6" s="226">
        <v>4</v>
      </c>
      <c r="B6" s="227" t="s">
        <v>193</v>
      </c>
      <c r="C6" s="28"/>
    </row>
    <row r="7" spans="1:3" ht="15.75" x14ac:dyDescent="0.25">
      <c r="A7" s="226">
        <v>5</v>
      </c>
      <c r="B7" s="227" t="s">
        <v>194</v>
      </c>
      <c r="C7" s="28"/>
    </row>
    <row r="8" spans="1:3" ht="15.75" x14ac:dyDescent="0.25">
      <c r="A8" s="226">
        <v>6</v>
      </c>
      <c r="B8" s="227" t="s">
        <v>195</v>
      </c>
      <c r="C8" s="28"/>
    </row>
    <row r="9" spans="1:3" ht="15.75" x14ac:dyDescent="0.25">
      <c r="A9" s="226">
        <v>7</v>
      </c>
      <c r="B9" s="227" t="s">
        <v>196</v>
      </c>
      <c r="C9" s="28"/>
    </row>
    <row r="10" spans="1:3" ht="15.75" x14ac:dyDescent="0.25">
      <c r="A10" s="226">
        <v>8</v>
      </c>
      <c r="B10" s="227" t="s">
        <v>197</v>
      </c>
      <c r="C10" s="28"/>
    </row>
    <row r="11" spans="1:3" ht="15.75" x14ac:dyDescent="0.25">
      <c r="A11" s="228"/>
      <c r="B11" s="229"/>
      <c r="C11" s="230"/>
    </row>
    <row r="12" spans="1:3" ht="18.75" x14ac:dyDescent="0.3">
      <c r="A12" s="228"/>
      <c r="B12" s="225" t="s">
        <v>198</v>
      </c>
      <c r="C12" s="225" t="s">
        <v>189</v>
      </c>
    </row>
    <row r="13" spans="1:3" ht="31.5" x14ac:dyDescent="0.25">
      <c r="A13" s="226">
        <v>1</v>
      </c>
      <c r="B13" s="227" t="s">
        <v>199</v>
      </c>
      <c r="C13" s="28"/>
    </row>
    <row r="14" spans="1:3" ht="15.75" x14ac:dyDescent="0.25">
      <c r="A14" s="226">
        <v>2</v>
      </c>
      <c r="B14" s="227" t="s">
        <v>200</v>
      </c>
      <c r="C14" s="28"/>
    </row>
    <row r="15" spans="1:3" x14ac:dyDescent="0.25">
      <c r="C15" s="230"/>
    </row>
    <row r="16" spans="1:3" ht="18.75" x14ac:dyDescent="0.3">
      <c r="B16" s="223" t="s">
        <v>201</v>
      </c>
      <c r="C16" s="230"/>
    </row>
    <row r="17" spans="1:3" ht="18.75" x14ac:dyDescent="0.3">
      <c r="B17" s="232" t="s">
        <v>202</v>
      </c>
      <c r="C17" s="225" t="s">
        <v>189</v>
      </c>
    </row>
    <row r="18" spans="1:3" ht="15.75" x14ac:dyDescent="0.25">
      <c r="A18" s="226">
        <v>1</v>
      </c>
      <c r="B18" s="227" t="s">
        <v>203</v>
      </c>
      <c r="C18" s="28"/>
    </row>
    <row r="19" spans="1:3" ht="15.75" x14ac:dyDescent="0.25">
      <c r="A19" s="226">
        <v>2</v>
      </c>
      <c r="B19" s="227" t="s">
        <v>204</v>
      </c>
      <c r="C19" s="28"/>
    </row>
    <row r="20" spans="1:3" ht="15.75" x14ac:dyDescent="0.25">
      <c r="A20" s="226">
        <v>3</v>
      </c>
      <c r="B20" s="227" t="s">
        <v>205</v>
      </c>
      <c r="C20" s="28"/>
    </row>
    <row r="21" spans="1:3" ht="15.75" x14ac:dyDescent="0.25">
      <c r="A21" s="226">
        <v>4</v>
      </c>
      <c r="B21" s="227" t="s">
        <v>206</v>
      </c>
      <c r="C21" s="28"/>
    </row>
    <row r="22" spans="1:3" ht="15.75" x14ac:dyDescent="0.25">
      <c r="A22" s="226">
        <v>5</v>
      </c>
      <c r="B22" s="227" t="s">
        <v>207</v>
      </c>
      <c r="C22" s="28"/>
    </row>
    <row r="23" spans="1:3" ht="15.75" x14ac:dyDescent="0.25">
      <c r="A23" s="226">
        <v>6</v>
      </c>
      <c r="B23" s="227" t="s">
        <v>208</v>
      </c>
      <c r="C23" s="28"/>
    </row>
    <row r="24" spans="1:3" ht="15.75" x14ac:dyDescent="0.25">
      <c r="A24" s="226">
        <v>7</v>
      </c>
      <c r="B24" s="227" t="s">
        <v>209</v>
      </c>
      <c r="C24" s="2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L36"/>
  <sheetViews>
    <sheetView showZeros="0" zoomScaleNormal="100" zoomScaleSheetLayoutView="75" zoomScalePageLayoutView="75" workbookViewId="0">
      <selection activeCell="D23" sqref="D23"/>
    </sheetView>
  </sheetViews>
  <sheetFormatPr defaultRowHeight="15" x14ac:dyDescent="0.25"/>
  <cols>
    <col min="1" max="1" width="5.28515625" customWidth="1"/>
    <col min="2" max="2" width="50.7109375" customWidth="1"/>
    <col min="3" max="3" width="11" bestFit="1" customWidth="1"/>
    <col min="4" max="4" width="40.7109375" customWidth="1"/>
    <col min="5" max="5" width="11" bestFit="1" customWidth="1"/>
    <col min="6" max="6" width="15.42578125" bestFit="1" customWidth="1"/>
    <col min="7" max="7" width="7.42578125" bestFit="1" customWidth="1"/>
    <col min="8" max="8" width="6.140625" customWidth="1"/>
    <col min="9" max="9" width="9.85546875" customWidth="1"/>
    <col min="10" max="10" width="6.28515625" bestFit="1" customWidth="1"/>
    <col min="11" max="11" width="7.85546875" bestFit="1" customWidth="1"/>
  </cols>
  <sheetData>
    <row r="1" spans="1:11" ht="32.25" customHeight="1" x14ac:dyDescent="0.25">
      <c r="B1" s="315" t="str">
        <f>CONCATENATE(Квоты!BC6,Квоты!E8)</f>
        <v>Коммерческое предложение для ООО "</v>
      </c>
      <c r="C1" s="315"/>
      <c r="D1" s="315"/>
      <c r="E1" s="315"/>
      <c r="F1" s="315"/>
      <c r="G1" s="315"/>
      <c r="H1" s="315"/>
      <c r="I1" s="315"/>
      <c r="J1" s="315"/>
      <c r="K1" s="315"/>
    </row>
    <row r="2" spans="1:11" ht="6" customHeight="1" x14ac:dyDescent="0.25"/>
    <row r="3" spans="1:11" ht="15.75" x14ac:dyDescent="0.25">
      <c r="B3" s="46"/>
      <c r="C3" s="322" t="s">
        <v>45</v>
      </c>
      <c r="D3" s="322"/>
    </row>
    <row r="4" spans="1:11" ht="15.75" x14ac:dyDescent="0.25">
      <c r="B4" s="46"/>
      <c r="C4" s="323" t="s">
        <v>46</v>
      </c>
      <c r="D4" s="323"/>
    </row>
    <row r="5" spans="1:11" ht="15.75" x14ac:dyDescent="0.25">
      <c r="B5" s="46"/>
      <c r="C5" s="323" t="s">
        <v>47</v>
      </c>
      <c r="D5" s="323"/>
      <c r="J5" s="2"/>
      <c r="K5" s="2"/>
    </row>
    <row r="6" spans="1:11" ht="15.75" x14ac:dyDescent="0.25">
      <c r="B6" s="46"/>
      <c r="C6" s="270" t="s">
        <v>48</v>
      </c>
      <c r="D6" s="270"/>
    </row>
    <row r="7" spans="1:11" ht="15.75" x14ac:dyDescent="0.25">
      <c r="B7" s="46"/>
      <c r="C7" s="266" t="s">
        <v>49</v>
      </c>
      <c r="D7" s="266"/>
    </row>
    <row r="8" spans="1:11" ht="9" customHeight="1" x14ac:dyDescent="0.25">
      <c r="B8" s="47"/>
      <c r="C8" s="37"/>
      <c r="D8" s="37"/>
    </row>
    <row r="9" spans="1:11" ht="15.75" x14ac:dyDescent="0.25">
      <c r="B9" s="49" t="s">
        <v>60</v>
      </c>
      <c r="C9" s="56">
        <f>Квоты!E9</f>
        <v>0</v>
      </c>
      <c r="D9" s="37"/>
    </row>
    <row r="10" spans="1:11" ht="15.75" x14ac:dyDescent="0.25">
      <c r="B10" s="49" t="s">
        <v>61</v>
      </c>
      <c r="C10" s="316">
        <f ca="1">TODAY()</f>
        <v>42559</v>
      </c>
      <c r="D10" s="316"/>
    </row>
    <row r="11" spans="1:11" ht="6" customHeight="1" thickBot="1" x14ac:dyDescent="0.3">
      <c r="B11" s="46"/>
    </row>
    <row r="12" spans="1:11" s="34" customFormat="1" ht="19.5" thickBot="1" x14ac:dyDescent="0.3">
      <c r="A12" s="52"/>
      <c r="B12" s="320" t="s">
        <v>44</v>
      </c>
      <c r="C12" s="321"/>
      <c r="D12" s="317" t="s">
        <v>56</v>
      </c>
      <c r="E12" s="318"/>
      <c r="F12" s="318"/>
      <c r="G12" s="318"/>
      <c r="H12" s="318"/>
      <c r="I12" s="318"/>
      <c r="J12" s="318"/>
      <c r="K12" s="319"/>
    </row>
    <row r="13" spans="1:11" ht="30.75" thickBot="1" x14ac:dyDescent="0.3">
      <c r="A13" s="83" t="s">
        <v>1</v>
      </c>
      <c r="B13" s="84" t="s">
        <v>0</v>
      </c>
      <c r="C13" s="86" t="s">
        <v>50</v>
      </c>
      <c r="D13" s="85" t="s">
        <v>0</v>
      </c>
      <c r="E13" s="60" t="s">
        <v>50</v>
      </c>
      <c r="F13" s="60" t="s">
        <v>6</v>
      </c>
      <c r="G13" s="60" t="s">
        <v>7</v>
      </c>
      <c r="H13" s="60" t="s">
        <v>57</v>
      </c>
      <c r="I13" s="81" t="s">
        <v>43</v>
      </c>
      <c r="J13" s="60" t="s">
        <v>93</v>
      </c>
      <c r="K13" s="82" t="s">
        <v>94</v>
      </c>
    </row>
    <row r="14" spans="1:11" ht="15.75" thickBot="1" x14ac:dyDescent="0.3">
      <c r="A14" s="80">
        <v>1</v>
      </c>
      <c r="B14" s="125" t="s">
        <v>79</v>
      </c>
      <c r="C14" s="126">
        <v>10</v>
      </c>
      <c r="D14" s="125" t="s">
        <v>79</v>
      </c>
      <c r="E14" s="126">
        <v>10</v>
      </c>
      <c r="F14" s="126" t="s">
        <v>67</v>
      </c>
      <c r="G14" s="126" t="s">
        <v>67</v>
      </c>
      <c r="H14" s="126" t="s">
        <v>66</v>
      </c>
      <c r="I14" s="126" t="s">
        <v>80</v>
      </c>
      <c r="J14" s="127">
        <v>2.8</v>
      </c>
      <c r="K14" s="138">
        <v>28</v>
      </c>
    </row>
    <row r="15" spans="1:11" ht="15.75" thickBot="1" x14ac:dyDescent="0.3">
      <c r="K15" s="87">
        <v>28</v>
      </c>
    </row>
    <row r="24" spans="12:12" x14ac:dyDescent="0.25">
      <c r="L24" s="2"/>
    </row>
    <row r="25" spans="12:12" x14ac:dyDescent="0.25">
      <c r="L25" s="2"/>
    </row>
    <row r="26" spans="12:12" x14ac:dyDescent="0.25">
      <c r="L26" s="2"/>
    </row>
    <row r="27" spans="12:12" x14ac:dyDescent="0.25">
      <c r="L27" s="2"/>
    </row>
    <row r="28" spans="12:12" x14ac:dyDescent="0.25">
      <c r="L28" s="2"/>
    </row>
    <row r="29" spans="12:12" x14ac:dyDescent="0.25">
      <c r="L29" s="2"/>
    </row>
    <row r="30" spans="12:12" x14ac:dyDescent="0.25">
      <c r="L30" s="2"/>
    </row>
    <row r="31" spans="12:12" x14ac:dyDescent="0.25">
      <c r="L31" s="2"/>
    </row>
    <row r="32" spans="12:12" x14ac:dyDescent="0.25">
      <c r="L32" s="2"/>
    </row>
    <row r="33" spans="12:12" x14ac:dyDescent="0.25">
      <c r="L33" s="2"/>
    </row>
    <row r="34" spans="12:12" x14ac:dyDescent="0.25">
      <c r="L34" s="2"/>
    </row>
    <row r="35" spans="12:12" x14ac:dyDescent="0.25">
      <c r="L35" s="2"/>
    </row>
    <row r="36" spans="12:12" x14ac:dyDescent="0.25">
      <c r="L36" s="2"/>
    </row>
  </sheetData>
  <mergeCells count="9">
    <mergeCell ref="B1:K1"/>
    <mergeCell ref="C10:D10"/>
    <mergeCell ref="D12:K12"/>
    <mergeCell ref="B12:C12"/>
    <mergeCell ref="C3:D3"/>
    <mergeCell ref="C4:D4"/>
    <mergeCell ref="C5:D5"/>
    <mergeCell ref="C6:D6"/>
    <mergeCell ref="C7:D7"/>
  </mergeCells>
  <hyperlinks>
    <hyperlink ref="C5" r:id="rId1"/>
    <hyperlink ref="C4" r:id="rId2"/>
  </hyperlinks>
  <pageMargins left="0.23622047244094491" right="0.23622047244094491" top="0.35433070866141736" bottom="0.35433070866141736" header="0.31496062992125984" footer="0.31496062992125984"/>
  <pageSetup paperSize="9" scale="83" fitToHeight="0" orientation="landscape" r:id="rId3"/>
  <colBreaks count="1" manualBreakCount="1">
    <brk id="13" max="22" man="1"/>
  </colBreaks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K22"/>
  <sheetViews>
    <sheetView showZeros="0" zoomScaleNormal="100" zoomScaleSheetLayoutView="75" zoomScalePageLayoutView="75" workbookViewId="0">
      <selection activeCell="D14" sqref="D14:K14"/>
    </sheetView>
  </sheetViews>
  <sheetFormatPr defaultRowHeight="15" x14ac:dyDescent="0.25"/>
  <cols>
    <col min="1" max="1" width="5.28515625" customWidth="1"/>
    <col min="2" max="2" width="50.7109375" customWidth="1"/>
    <col min="3" max="3" width="11" bestFit="1" customWidth="1"/>
    <col min="4" max="4" width="40.7109375" customWidth="1"/>
    <col min="5" max="5" width="11" bestFit="1" customWidth="1"/>
    <col min="6" max="6" width="15.42578125" bestFit="1" customWidth="1"/>
    <col min="7" max="7" width="7.42578125" bestFit="1" customWidth="1"/>
    <col min="8" max="8" width="4.28515625" bestFit="1" customWidth="1"/>
    <col min="9" max="9" width="9.140625" bestFit="1" customWidth="1"/>
    <col min="10" max="10" width="6.28515625" bestFit="1" customWidth="1"/>
    <col min="11" max="11" width="7.85546875" bestFit="1" customWidth="1"/>
  </cols>
  <sheetData>
    <row r="1" spans="1:11" ht="32.25" customHeight="1" x14ac:dyDescent="0.25">
      <c r="B1" s="315" t="str">
        <f>CONCATENATE(Квоты!BC6,Квоты!E8)</f>
        <v>Коммерческое предложение для ООО "</v>
      </c>
      <c r="C1" s="315"/>
      <c r="D1" s="315"/>
      <c r="E1" s="315"/>
      <c r="F1" s="315"/>
      <c r="G1" s="315"/>
      <c r="H1" s="315"/>
      <c r="I1" s="315"/>
      <c r="J1" s="315"/>
      <c r="K1" s="315"/>
    </row>
    <row r="2" spans="1:11" ht="6" customHeight="1" x14ac:dyDescent="0.25"/>
    <row r="3" spans="1:11" ht="15.75" x14ac:dyDescent="0.25">
      <c r="B3" s="46"/>
      <c r="C3" s="322" t="s">
        <v>45</v>
      </c>
      <c r="D3" s="322"/>
    </row>
    <row r="4" spans="1:11" ht="15.75" x14ac:dyDescent="0.25">
      <c r="B4" s="46"/>
      <c r="C4" s="323" t="s">
        <v>46</v>
      </c>
      <c r="D4" s="323"/>
    </row>
    <row r="5" spans="1:11" ht="15.75" x14ac:dyDescent="0.25">
      <c r="B5" s="46"/>
      <c r="C5" s="323" t="s">
        <v>47</v>
      </c>
      <c r="D5" s="323"/>
      <c r="J5" s="2"/>
      <c r="K5" s="2"/>
    </row>
    <row r="6" spans="1:11" ht="15.75" x14ac:dyDescent="0.25">
      <c r="B6" s="46"/>
      <c r="C6" s="270" t="s">
        <v>48</v>
      </c>
      <c r="D6" s="270"/>
    </row>
    <row r="7" spans="1:11" ht="15.75" x14ac:dyDescent="0.25">
      <c r="B7" s="46"/>
      <c r="C7" s="266" t="s">
        <v>49</v>
      </c>
      <c r="D7" s="266"/>
    </row>
    <row r="8" spans="1:11" ht="9" customHeight="1" x14ac:dyDescent="0.25">
      <c r="B8" s="249"/>
      <c r="C8" s="250"/>
      <c r="D8" s="250"/>
    </row>
    <row r="9" spans="1:11" ht="15.75" x14ac:dyDescent="0.25">
      <c r="B9" s="49" t="s">
        <v>60</v>
      </c>
      <c r="C9" s="56">
        <f>Квоты!E9</f>
        <v>0</v>
      </c>
      <c r="D9" s="250"/>
    </row>
    <row r="10" spans="1:11" ht="15.75" x14ac:dyDescent="0.25">
      <c r="B10" s="49" t="s">
        <v>61</v>
      </c>
      <c r="C10" s="316">
        <f ca="1">TODAY()</f>
        <v>42559</v>
      </c>
      <c r="D10" s="316"/>
    </row>
    <row r="11" spans="1:11" ht="6" customHeight="1" thickBot="1" x14ac:dyDescent="0.3">
      <c r="B11" s="46"/>
    </row>
    <row r="12" spans="1:11" s="34" customFormat="1" ht="19.5" thickBot="1" x14ac:dyDescent="0.3">
      <c r="A12" s="52"/>
      <c r="B12" s="291" t="s">
        <v>44</v>
      </c>
      <c r="C12" s="324"/>
      <c r="D12" s="325" t="s">
        <v>56</v>
      </c>
      <c r="E12" s="326"/>
      <c r="F12" s="326"/>
      <c r="G12" s="326"/>
      <c r="H12" s="326"/>
      <c r="I12" s="326"/>
      <c r="J12" s="326"/>
      <c r="K12" s="319"/>
    </row>
    <row r="13" spans="1:11" ht="30.75" thickBot="1" x14ac:dyDescent="0.3">
      <c r="A13" s="83" t="s">
        <v>1</v>
      </c>
      <c r="B13" s="84" t="s">
        <v>0</v>
      </c>
      <c r="C13" s="86" t="s">
        <v>50</v>
      </c>
      <c r="D13" s="203" t="s">
        <v>0</v>
      </c>
      <c r="E13" s="204" t="s">
        <v>50</v>
      </c>
      <c r="F13" s="204" t="s">
        <v>6</v>
      </c>
      <c r="G13" s="204" t="s">
        <v>7</v>
      </c>
      <c r="H13" s="204" t="s">
        <v>57</v>
      </c>
      <c r="I13" s="205" t="s">
        <v>43</v>
      </c>
      <c r="J13" s="206" t="s">
        <v>93</v>
      </c>
      <c r="K13" s="82" t="s">
        <v>94</v>
      </c>
    </row>
    <row r="14" spans="1:11" ht="15.75" thickBot="1" x14ac:dyDescent="0.3">
      <c r="A14" s="80">
        <v>1</v>
      </c>
      <c r="B14" s="125" t="s">
        <v>79</v>
      </c>
      <c r="C14" s="126">
        <v>10</v>
      </c>
      <c r="D14" s="207" t="s">
        <v>114</v>
      </c>
      <c r="E14" s="208">
        <v>9</v>
      </c>
      <c r="F14" s="126" t="s">
        <v>65</v>
      </c>
      <c r="G14" s="126" t="s">
        <v>141</v>
      </c>
      <c r="H14" s="126" t="s">
        <v>66</v>
      </c>
      <c r="I14" s="126" t="s">
        <v>80</v>
      </c>
      <c r="J14" s="127">
        <v>2.8</v>
      </c>
      <c r="K14" s="138">
        <v>25.2</v>
      </c>
    </row>
    <row r="15" spans="1:11" ht="15.75" thickBot="1" x14ac:dyDescent="0.3">
      <c r="K15" s="87">
        <v>25.200000762939453</v>
      </c>
    </row>
    <row r="17" spans="2:2" ht="15.75" x14ac:dyDescent="0.25">
      <c r="B17" s="202" t="s">
        <v>132</v>
      </c>
    </row>
    <row r="19" spans="2:2" ht="15.75" x14ac:dyDescent="0.25">
      <c r="B19" s="202" t="s">
        <v>213</v>
      </c>
    </row>
    <row r="20" spans="2:2" ht="15.75" x14ac:dyDescent="0.25">
      <c r="B20" s="202" t="s">
        <v>214</v>
      </c>
    </row>
    <row r="21" spans="2:2" ht="15.75" x14ac:dyDescent="0.25">
      <c r="B21" s="202" t="s">
        <v>215</v>
      </c>
    </row>
    <row r="22" spans="2:2" ht="15.75" x14ac:dyDescent="0.25">
      <c r="B22" s="202" t="s">
        <v>216</v>
      </c>
    </row>
  </sheetData>
  <mergeCells count="9">
    <mergeCell ref="C10:D10"/>
    <mergeCell ref="B12:C12"/>
    <mergeCell ref="D12:K12"/>
    <mergeCell ref="B1:K1"/>
    <mergeCell ref="C3:D3"/>
    <mergeCell ref="C4:D4"/>
    <mergeCell ref="C5:D5"/>
    <mergeCell ref="C6:D6"/>
    <mergeCell ref="C7:D7"/>
  </mergeCells>
  <hyperlinks>
    <hyperlink ref="C5" r:id="rId1"/>
    <hyperlink ref="C4" r:id="rId2"/>
  </hyperlinks>
  <pageMargins left="0.23622047244094491" right="0.23622047244094491" top="0.35433070866141736" bottom="0.35433070866141736" header="0.31496062992125984" footer="0.31496062992125984"/>
  <pageSetup paperSize="9" scale="84" fitToHeight="0" orientation="landscape" r:id="rId3"/>
  <colBreaks count="1" manualBreakCount="1">
    <brk id="11" max="22" man="1"/>
  </colBreaks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M31"/>
  <sheetViews>
    <sheetView showZeros="0" zoomScaleNormal="100" workbookViewId="0">
      <selection activeCell="E20" sqref="E20"/>
    </sheetView>
  </sheetViews>
  <sheetFormatPr defaultRowHeight="15" x14ac:dyDescent="0.25"/>
  <cols>
    <col min="1" max="1" width="5.28515625" customWidth="1"/>
    <col min="2" max="2" width="50.7109375" customWidth="1"/>
    <col min="3" max="3" width="10.7109375" bestFit="1" customWidth="1"/>
    <col min="4" max="4" width="14" bestFit="1" customWidth="1"/>
    <col min="5" max="5" width="10.140625" bestFit="1" customWidth="1"/>
    <col min="6" max="6" width="20" bestFit="1" customWidth="1"/>
    <col min="7" max="7" width="15.28515625" bestFit="1" customWidth="1"/>
    <col min="8" max="8" width="11.42578125" bestFit="1" customWidth="1"/>
    <col min="9" max="9" width="9.42578125" bestFit="1" customWidth="1"/>
    <col min="10" max="10" width="17" bestFit="1" customWidth="1"/>
    <col min="11" max="11" width="10" bestFit="1" customWidth="1"/>
    <col min="12" max="12" width="12.28515625" bestFit="1" customWidth="1"/>
    <col min="13" max="13" width="17.28515625" bestFit="1" customWidth="1"/>
    <col min="14" max="14" width="10.28515625" bestFit="1" customWidth="1"/>
    <col min="15" max="15" width="20.7109375" customWidth="1"/>
  </cols>
  <sheetData>
    <row r="1" spans="1:13" ht="9" customHeight="1" x14ac:dyDescent="0.25"/>
    <row r="2" spans="1:13" ht="6" customHeight="1" x14ac:dyDescent="0.25"/>
    <row r="3" spans="1:13" ht="15.75" x14ac:dyDescent="0.25">
      <c r="B3" s="262"/>
      <c r="C3" s="322" t="s">
        <v>45</v>
      </c>
      <c r="D3" s="322"/>
      <c r="E3" s="267"/>
      <c r="F3" s="263" t="s">
        <v>26</v>
      </c>
      <c r="G3" s="263"/>
      <c r="H3" s="48">
        <f>Квоты!J2</f>
        <v>58.464300000000001</v>
      </c>
      <c r="J3" s="35" t="s">
        <v>41</v>
      </c>
      <c r="K3" s="69">
        <f>Квоты!M2</f>
        <v>0</v>
      </c>
    </row>
    <row r="4" spans="1:13" ht="15.75" x14ac:dyDescent="0.25">
      <c r="B4" s="262"/>
      <c r="C4" s="323" t="s">
        <v>46</v>
      </c>
      <c r="D4" s="323"/>
      <c r="E4" s="269"/>
      <c r="F4" s="329" t="s">
        <v>27</v>
      </c>
      <c r="G4" s="329"/>
      <c r="H4" s="48">
        <f>Квоты!J3</f>
        <v>60.218229000000001</v>
      </c>
      <c r="J4" s="35" t="s">
        <v>42</v>
      </c>
      <c r="K4" s="69">
        <f>Квоты!M3</f>
        <v>0</v>
      </c>
    </row>
    <row r="5" spans="1:13" ht="15.75" x14ac:dyDescent="0.25">
      <c r="B5" s="262"/>
      <c r="C5" s="323" t="s">
        <v>47</v>
      </c>
      <c r="D5" s="323"/>
      <c r="E5" s="269"/>
      <c r="F5" s="263" t="s">
        <v>28</v>
      </c>
      <c r="G5" s="263"/>
      <c r="H5" s="48">
        <f>Квоты!J4</f>
        <v>60.218229000000001</v>
      </c>
      <c r="I5" s="2"/>
      <c r="J5" s="35" t="s">
        <v>30</v>
      </c>
      <c r="K5" s="68">
        <f>Квоты!M4</f>
        <v>0</v>
      </c>
    </row>
    <row r="6" spans="1:13" ht="15.75" x14ac:dyDescent="0.25">
      <c r="B6" s="262"/>
      <c r="C6" s="270" t="s">
        <v>48</v>
      </c>
      <c r="D6" s="270"/>
      <c r="E6" s="270"/>
      <c r="J6" s="133" t="s">
        <v>87</v>
      </c>
      <c r="K6" s="132" t="str">
        <f>Квоты!M5</f>
        <v>курьер</v>
      </c>
    </row>
    <row r="7" spans="1:13" ht="15.75" x14ac:dyDescent="0.25">
      <c r="B7" s="262"/>
      <c r="C7" s="266" t="s">
        <v>49</v>
      </c>
      <c r="D7" s="266"/>
      <c r="E7" s="266"/>
    </row>
    <row r="8" spans="1:13" ht="6" customHeight="1" thickBot="1" x14ac:dyDescent="0.3">
      <c r="B8" s="46"/>
    </row>
    <row r="9" spans="1:13" s="50" customFormat="1" ht="19.5" thickBot="1" x14ac:dyDescent="0.35">
      <c r="B9" s="51" t="s">
        <v>55</v>
      </c>
      <c r="C9" s="330" t="str">
        <f>Квоты!E8</f>
        <v>ООО "</v>
      </c>
      <c r="D9" s="331"/>
    </row>
    <row r="10" spans="1:13" s="50" customFormat="1" ht="19.5" thickBot="1" x14ac:dyDescent="0.35">
      <c r="B10" s="51" t="s">
        <v>59</v>
      </c>
      <c r="C10" s="330">
        <f>Квоты!E9</f>
        <v>0</v>
      </c>
      <c r="D10" s="331"/>
      <c r="E10" s="94" t="s">
        <v>69</v>
      </c>
      <c r="F10" s="93">
        <f ca="1">TODAY()</f>
        <v>42559</v>
      </c>
    </row>
    <row r="11" spans="1:13" ht="7.5" customHeight="1" thickBot="1" x14ac:dyDescent="0.3">
      <c r="D11" s="26"/>
      <c r="E11" s="22"/>
      <c r="F11" s="2"/>
    </row>
    <row r="12" spans="1:13" s="34" customFormat="1" ht="19.5" thickBot="1" x14ac:dyDescent="0.3">
      <c r="B12" s="335" t="s">
        <v>10</v>
      </c>
      <c r="C12" s="336"/>
      <c r="D12" s="336"/>
      <c r="E12" s="336"/>
      <c r="F12" s="337"/>
      <c r="G12" s="332" t="s">
        <v>12</v>
      </c>
      <c r="H12" s="333"/>
      <c r="I12" s="333"/>
      <c r="J12" s="333"/>
      <c r="K12" s="333"/>
      <c r="L12" s="334"/>
      <c r="M12" s="57"/>
    </row>
    <row r="13" spans="1:13" ht="45.75" thickBot="1" x14ac:dyDescent="0.3">
      <c r="A13" s="83" t="s">
        <v>1</v>
      </c>
      <c r="B13" s="59" t="s">
        <v>0</v>
      </c>
      <c r="C13" s="60" t="s">
        <v>50</v>
      </c>
      <c r="D13" s="60" t="s">
        <v>51</v>
      </c>
      <c r="E13" s="61" t="s">
        <v>8</v>
      </c>
      <c r="F13" s="62" t="s">
        <v>2</v>
      </c>
      <c r="G13" s="59" t="s">
        <v>52</v>
      </c>
      <c r="H13" s="63" t="s">
        <v>9</v>
      </c>
      <c r="I13" s="63" t="s">
        <v>19</v>
      </c>
      <c r="J13" s="63" t="s">
        <v>53</v>
      </c>
      <c r="K13" s="63" t="s">
        <v>16</v>
      </c>
      <c r="L13" s="64" t="s">
        <v>18</v>
      </c>
      <c r="M13" s="107" t="s">
        <v>33</v>
      </c>
    </row>
    <row r="14" spans="1:13" ht="15.75" thickBot="1" x14ac:dyDescent="0.3">
      <c r="A14" s="80">
        <v>1</v>
      </c>
      <c r="B14" s="125" t="s">
        <v>218</v>
      </c>
      <c r="C14" s="126">
        <v>9</v>
      </c>
      <c r="D14" s="127">
        <v>1.5</v>
      </c>
      <c r="E14" s="127">
        <v>13.5</v>
      </c>
      <c r="F14" s="151">
        <v>812.95</v>
      </c>
      <c r="G14" s="128">
        <v>2.8</v>
      </c>
      <c r="H14" s="127">
        <v>25.2</v>
      </c>
      <c r="I14" s="130">
        <v>0.8666666666666667</v>
      </c>
      <c r="J14" s="151">
        <v>168.61104119999999</v>
      </c>
      <c r="K14" s="151">
        <v>1517.5</v>
      </c>
      <c r="L14" s="129">
        <v>0.8666666666666667</v>
      </c>
      <c r="M14" s="65" t="s">
        <v>217</v>
      </c>
    </row>
    <row r="15" spans="1:13" ht="15.75" thickBot="1" x14ac:dyDescent="0.3">
      <c r="E15" s="108">
        <v>13.5</v>
      </c>
      <c r="F15" s="150">
        <v>812.95001220703125</v>
      </c>
      <c r="H15" s="108">
        <v>25.200000762939453</v>
      </c>
      <c r="I15" s="109">
        <v>0.86666673421859741</v>
      </c>
      <c r="K15" s="152">
        <v>1517.5</v>
      </c>
      <c r="L15" s="109">
        <v>0.86665844917297363</v>
      </c>
    </row>
    <row r="16" spans="1:13" ht="15.75" thickBot="1" x14ac:dyDescent="0.3"/>
    <row r="17" spans="2:3" x14ac:dyDescent="0.25">
      <c r="B17" s="327" t="s">
        <v>22</v>
      </c>
      <c r="C17" s="328"/>
    </row>
    <row r="18" spans="2:3" x14ac:dyDescent="0.25">
      <c r="B18" s="111" t="s">
        <v>8</v>
      </c>
      <c r="C18" s="112">
        <v>13.5</v>
      </c>
    </row>
    <row r="19" spans="2:3" x14ac:dyDescent="0.25">
      <c r="B19" s="111" t="s">
        <v>9</v>
      </c>
      <c r="C19" s="112">
        <v>25.200000762939453</v>
      </c>
    </row>
    <row r="20" spans="2:3" x14ac:dyDescent="0.25">
      <c r="B20" s="111" t="s">
        <v>35</v>
      </c>
      <c r="C20" s="112">
        <v>11.700000762939453</v>
      </c>
    </row>
    <row r="21" spans="2:3" ht="15.75" thickBot="1" x14ac:dyDescent="0.3">
      <c r="B21" s="113" t="s">
        <v>36</v>
      </c>
      <c r="C21" s="110">
        <v>0.86666673421859741</v>
      </c>
    </row>
    <row r="22" spans="2:3" ht="15.75" thickBot="1" x14ac:dyDescent="0.3"/>
    <row r="23" spans="2:3" x14ac:dyDescent="0.25">
      <c r="B23" s="327" t="s">
        <v>23</v>
      </c>
      <c r="C23" s="328"/>
    </row>
    <row r="24" spans="2:3" x14ac:dyDescent="0.25">
      <c r="B24" s="111" t="s">
        <v>62</v>
      </c>
      <c r="C24" s="153">
        <v>812.95</v>
      </c>
    </row>
    <row r="25" spans="2:3" x14ac:dyDescent="0.25">
      <c r="B25" s="111" t="s">
        <v>3</v>
      </c>
      <c r="C25" s="153">
        <v>1517.5</v>
      </c>
    </row>
    <row r="26" spans="2:3" x14ac:dyDescent="0.25">
      <c r="B26" s="111" t="s">
        <v>37</v>
      </c>
      <c r="C26" s="153">
        <v>704.55</v>
      </c>
    </row>
    <row r="27" spans="2:3" ht="15.75" thickBot="1" x14ac:dyDescent="0.3">
      <c r="B27" s="113" t="s">
        <v>38</v>
      </c>
      <c r="C27" s="110">
        <v>0.86665844917297363</v>
      </c>
    </row>
    <row r="31" spans="2:3" ht="7.5" customHeight="1" x14ac:dyDescent="0.25"/>
  </sheetData>
  <mergeCells count="15">
    <mergeCell ref="B23:C23"/>
    <mergeCell ref="F3:G3"/>
    <mergeCell ref="F4:G4"/>
    <mergeCell ref="F5:G5"/>
    <mergeCell ref="C3:E3"/>
    <mergeCell ref="C4:E4"/>
    <mergeCell ref="C9:D9"/>
    <mergeCell ref="C10:D10"/>
    <mergeCell ref="B3:B7"/>
    <mergeCell ref="C5:E5"/>
    <mergeCell ref="C6:E6"/>
    <mergeCell ref="C7:E7"/>
    <mergeCell ref="G12:L12"/>
    <mergeCell ref="B12:F12"/>
    <mergeCell ref="B17:C17"/>
  </mergeCells>
  <hyperlinks>
    <hyperlink ref="C5" r:id="rId1"/>
    <hyperlink ref="C4" r:id="rId2"/>
  </hyperlinks>
  <pageMargins left="0.25" right="0.25" top="0.75" bottom="0.75" header="0.3" footer="0.3"/>
  <pageSetup paperSize="9" scale="63" orientation="landscape" r:id="rId3"/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2:L15"/>
  <sheetViews>
    <sheetView showZeros="0" zoomScaleNormal="100" workbookViewId="0">
      <selection activeCell="D20" sqref="D20"/>
    </sheetView>
  </sheetViews>
  <sheetFormatPr defaultRowHeight="15" x14ac:dyDescent="0.25"/>
  <cols>
    <col min="1" max="1" width="5.28515625" customWidth="1"/>
    <col min="2" max="2" width="50.7109375" customWidth="1"/>
    <col min="3" max="3" width="10.7109375" bestFit="1" customWidth="1"/>
    <col min="4" max="4" width="15.42578125" bestFit="1" customWidth="1"/>
    <col min="5" max="5" width="7.42578125" bestFit="1" customWidth="1"/>
    <col min="6" max="6" width="9" customWidth="1"/>
    <col min="7" max="7" width="20" customWidth="1"/>
    <col min="8" max="8" width="13.28515625" customWidth="1"/>
    <col min="9" max="9" width="11" bestFit="1" customWidth="1"/>
    <col min="10" max="10" width="15.28515625" customWidth="1"/>
    <col min="11" max="11" width="16" customWidth="1"/>
    <col min="12" max="12" width="19.5703125" customWidth="1"/>
    <col min="13" max="13" width="9.85546875" customWidth="1"/>
    <col min="14" max="14" width="20.7109375" customWidth="1"/>
    <col min="36" max="36" width="14.28515625" customWidth="1"/>
  </cols>
  <sheetData>
    <row r="2" spans="1:12" ht="6" customHeight="1" x14ac:dyDescent="0.25"/>
    <row r="3" spans="1:12" ht="15.75" x14ac:dyDescent="0.25">
      <c r="B3" s="262"/>
      <c r="C3" s="322" t="s">
        <v>45</v>
      </c>
      <c r="D3" s="322"/>
      <c r="E3" s="2"/>
    </row>
    <row r="4" spans="1:12" ht="15.75" x14ac:dyDescent="0.25">
      <c r="B4" s="262"/>
      <c r="C4" s="323" t="s">
        <v>46</v>
      </c>
      <c r="D4" s="323"/>
      <c r="E4" s="2"/>
    </row>
    <row r="5" spans="1:12" ht="15.75" x14ac:dyDescent="0.25">
      <c r="B5" s="262"/>
      <c r="C5" s="323" t="s">
        <v>47</v>
      </c>
      <c r="D5" s="323"/>
      <c r="E5" s="2"/>
    </row>
    <row r="6" spans="1:12" ht="15.75" x14ac:dyDescent="0.25">
      <c r="B6" s="262"/>
      <c r="C6" s="270" t="s">
        <v>48</v>
      </c>
      <c r="D6" s="270"/>
    </row>
    <row r="7" spans="1:12" ht="15.75" x14ac:dyDescent="0.25">
      <c r="B7" s="262"/>
      <c r="C7" s="266" t="s">
        <v>49</v>
      </c>
      <c r="D7" s="266"/>
      <c r="E7" s="266"/>
      <c r="F7" s="266"/>
    </row>
    <row r="8" spans="1:12" ht="6" customHeight="1" thickBot="1" x14ac:dyDescent="0.3">
      <c r="B8" s="46"/>
    </row>
    <row r="9" spans="1:12" s="50" customFormat="1" ht="19.5" thickBot="1" x14ac:dyDescent="0.35">
      <c r="B9" s="51" t="s">
        <v>55</v>
      </c>
      <c r="C9" s="330" t="str">
        <f>Квоты!E8</f>
        <v>ООО "</v>
      </c>
      <c r="D9" s="340"/>
      <c r="E9" s="340"/>
      <c r="F9" s="331"/>
    </row>
    <row r="10" spans="1:12" s="50" customFormat="1" ht="19.5" thickBot="1" x14ac:dyDescent="0.35">
      <c r="B10" s="51" t="s">
        <v>59</v>
      </c>
      <c r="C10" s="338">
        <f>Квоты!E9</f>
        <v>0</v>
      </c>
      <c r="D10" s="339"/>
      <c r="F10" s="95" t="s">
        <v>69</v>
      </c>
      <c r="G10" s="93">
        <f ca="1">TODAY()</f>
        <v>42559</v>
      </c>
    </row>
    <row r="11" spans="1:12" ht="15.75" thickBot="1" x14ac:dyDescent="0.3">
      <c r="D11" s="26"/>
      <c r="E11" s="22"/>
      <c r="G11" s="27"/>
      <c r="H11" s="27"/>
    </row>
    <row r="12" spans="1:12" ht="19.5" thickBot="1" x14ac:dyDescent="0.3">
      <c r="B12" s="341" t="s">
        <v>10</v>
      </c>
      <c r="C12" s="342"/>
      <c r="D12" s="342"/>
      <c r="E12" s="342"/>
      <c r="F12" s="342"/>
      <c r="G12" s="342"/>
      <c r="H12" s="342"/>
      <c r="I12" s="342"/>
      <c r="J12" s="342"/>
      <c r="K12" s="342"/>
      <c r="L12" s="343"/>
    </row>
    <row r="13" spans="1:12" ht="30.75" thickBot="1" x14ac:dyDescent="0.3">
      <c r="A13" s="83" t="s">
        <v>1</v>
      </c>
      <c r="B13" s="59" t="s">
        <v>0</v>
      </c>
      <c r="C13" s="60" t="s">
        <v>50</v>
      </c>
      <c r="D13" s="60" t="s">
        <v>6</v>
      </c>
      <c r="E13" s="60" t="s">
        <v>7</v>
      </c>
      <c r="F13" s="60" t="s">
        <v>57</v>
      </c>
      <c r="G13" s="60" t="s">
        <v>51</v>
      </c>
      <c r="H13" s="61" t="s">
        <v>8</v>
      </c>
      <c r="I13" s="106" t="s">
        <v>15</v>
      </c>
      <c r="J13" s="106" t="s">
        <v>24</v>
      </c>
      <c r="K13" s="81" t="s">
        <v>43</v>
      </c>
      <c r="L13" s="82" t="s">
        <v>116</v>
      </c>
    </row>
    <row r="14" spans="1:12" ht="15.75" thickBot="1" x14ac:dyDescent="0.3">
      <c r="A14" s="80">
        <v>1</v>
      </c>
      <c r="B14" s="125" t="s">
        <v>114</v>
      </c>
      <c r="C14" s="126">
        <v>9</v>
      </c>
      <c r="D14" s="126" t="s">
        <v>65</v>
      </c>
      <c r="E14" s="126" t="s">
        <v>141</v>
      </c>
      <c r="F14" s="126" t="s">
        <v>66</v>
      </c>
      <c r="G14" s="147">
        <v>1.5</v>
      </c>
      <c r="H14" s="147">
        <v>13.5</v>
      </c>
      <c r="I14" s="126" t="s">
        <v>68</v>
      </c>
      <c r="J14" s="126" t="s">
        <v>86</v>
      </c>
      <c r="K14" s="126" t="s">
        <v>80</v>
      </c>
      <c r="L14" s="185">
        <v>42340</v>
      </c>
    </row>
    <row r="15" spans="1:12" ht="15.75" thickBot="1" x14ac:dyDescent="0.3">
      <c r="H15" s="87">
        <v>13.5</v>
      </c>
    </row>
  </sheetData>
  <mergeCells count="9">
    <mergeCell ref="C10:D10"/>
    <mergeCell ref="C9:F9"/>
    <mergeCell ref="C7:F7"/>
    <mergeCell ref="B12:L12"/>
    <mergeCell ref="B3:B7"/>
    <mergeCell ref="C3:D3"/>
    <mergeCell ref="C4:D4"/>
    <mergeCell ref="C5:D5"/>
    <mergeCell ref="C6:D6"/>
  </mergeCells>
  <hyperlinks>
    <hyperlink ref="C5" r:id="rId1"/>
    <hyperlink ref="C4" r:id="rId2"/>
  </hyperlinks>
  <pageMargins left="0.25" right="0.25" top="0.75" bottom="0.75" header="0.3" footer="0.3"/>
  <pageSetup paperSize="9" scale="73" orientation="landscape" r:id="rId3"/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B2:G4"/>
  <sheetViews>
    <sheetView zoomScaleNormal="100" workbookViewId="0">
      <selection activeCell="D20" sqref="D20"/>
    </sheetView>
  </sheetViews>
  <sheetFormatPr defaultRowHeight="15" x14ac:dyDescent="0.25"/>
  <cols>
    <col min="1" max="1" width="1.5703125" customWidth="1"/>
    <col min="2" max="2" width="4.28515625" customWidth="1"/>
    <col min="3" max="3" width="57.7109375" customWidth="1"/>
    <col min="4" max="4" width="9.28515625" bestFit="1" customWidth="1"/>
    <col min="5" max="5" width="10.5703125" bestFit="1" customWidth="1"/>
    <col min="6" max="6" width="11.28515625" bestFit="1" customWidth="1"/>
    <col min="7" max="7" width="10.28515625" customWidth="1"/>
  </cols>
  <sheetData>
    <row r="2" spans="2:7" ht="15.75" thickBot="1" x14ac:dyDescent="0.3"/>
    <row r="3" spans="2:7" ht="45.75" thickBot="1" x14ac:dyDescent="0.3">
      <c r="B3" s="120" t="s">
        <v>71</v>
      </c>
      <c r="C3" s="121" t="s">
        <v>72</v>
      </c>
      <c r="D3" s="121" t="s">
        <v>73</v>
      </c>
      <c r="E3" s="121" t="s">
        <v>75</v>
      </c>
      <c r="F3" s="122" t="s">
        <v>76</v>
      </c>
      <c r="G3" s="123" t="s">
        <v>74</v>
      </c>
    </row>
    <row r="4" spans="2:7" ht="15.75" thickBot="1" x14ac:dyDescent="0.3">
      <c r="B4" s="248">
        <v>1</v>
      </c>
      <c r="C4" s="148" t="s">
        <v>219</v>
      </c>
      <c r="D4" s="126">
        <v>9</v>
      </c>
      <c r="E4" s="151">
        <v>168.61104119999999</v>
      </c>
      <c r="F4" s="151">
        <v>1517.5</v>
      </c>
      <c r="G4" s="149"/>
    </row>
  </sheetData>
  <pageMargins left="0.7" right="0.7" top="0.75" bottom="0.75" header="0.3" footer="0.3"/>
  <pageSetup paperSize="9" scale="83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J2"/>
  <sheetViews>
    <sheetView workbookViewId="0">
      <selection activeCell="D10" sqref="D10"/>
    </sheetView>
  </sheetViews>
  <sheetFormatPr defaultRowHeight="15" x14ac:dyDescent="0.25"/>
  <cols>
    <col min="1" max="1" width="13" customWidth="1"/>
    <col min="2" max="2" width="18.7109375" customWidth="1"/>
    <col min="3" max="3" width="16.140625" bestFit="1" customWidth="1"/>
    <col min="4" max="4" width="18.7109375" bestFit="1" customWidth="1"/>
    <col min="5" max="5" width="26.85546875" bestFit="1" customWidth="1"/>
    <col min="6" max="6" width="19" bestFit="1" customWidth="1"/>
    <col min="7" max="7" width="14.5703125" bestFit="1" customWidth="1"/>
    <col min="8" max="8" width="20.28515625" bestFit="1" customWidth="1"/>
    <col min="9" max="9" width="18.140625" customWidth="1"/>
    <col min="10" max="10" width="17.28515625" bestFit="1" customWidth="1"/>
  </cols>
  <sheetData>
    <row r="1" spans="1:10" ht="47.25" x14ac:dyDescent="0.25">
      <c r="A1" s="139" t="s">
        <v>96</v>
      </c>
      <c r="B1" s="139" t="s">
        <v>97</v>
      </c>
      <c r="C1" s="139" t="s">
        <v>98</v>
      </c>
      <c r="D1" s="139" t="s">
        <v>99</v>
      </c>
      <c r="E1" s="139" t="s">
        <v>100</v>
      </c>
      <c r="F1" s="139" t="s">
        <v>101</v>
      </c>
      <c r="G1" s="139" t="s">
        <v>102</v>
      </c>
      <c r="H1" s="139" t="s">
        <v>103</v>
      </c>
      <c r="I1" s="139" t="s">
        <v>104</v>
      </c>
      <c r="J1" s="140" t="s">
        <v>34</v>
      </c>
    </row>
    <row r="2" spans="1:10" x14ac:dyDescent="0.25">
      <c r="A2" s="142"/>
      <c r="B2" s="141" t="s">
        <v>105</v>
      </c>
      <c r="C2" s="141"/>
      <c r="D2" s="143">
        <v>1517.5</v>
      </c>
      <c r="E2" s="143">
        <v>704.55</v>
      </c>
      <c r="F2" s="143"/>
      <c r="G2" s="143">
        <v>704.55</v>
      </c>
      <c r="H2" s="144">
        <v>0</v>
      </c>
      <c r="I2" s="146">
        <f ca="1">TODAY()</f>
        <v>42559</v>
      </c>
      <c r="J2" s="145" t="s">
        <v>133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M36"/>
  <sheetViews>
    <sheetView showZeros="0" zoomScaleNormal="100" zoomScaleSheetLayoutView="75" zoomScalePageLayoutView="75" workbookViewId="0">
      <selection activeCell="F5" sqref="F5"/>
    </sheetView>
  </sheetViews>
  <sheetFormatPr defaultRowHeight="15" x14ac:dyDescent="0.25"/>
  <cols>
    <col min="1" max="1" width="5.28515625" customWidth="1"/>
    <col min="2" max="2" width="50.7109375" customWidth="1"/>
    <col min="3" max="3" width="11" bestFit="1" customWidth="1"/>
    <col min="4" max="4" width="40.7109375" customWidth="1"/>
    <col min="5" max="5" width="11" bestFit="1" customWidth="1"/>
    <col min="6" max="6" width="15.42578125" bestFit="1" customWidth="1"/>
    <col min="7" max="7" width="7.42578125" bestFit="1" customWidth="1"/>
    <col min="8" max="8" width="6.140625" customWidth="1"/>
    <col min="9" max="9" width="9.85546875" customWidth="1"/>
    <col min="10" max="10" width="8.7109375" customWidth="1"/>
    <col min="11" max="11" width="7.85546875" bestFit="1" customWidth="1"/>
    <col min="12" max="12" width="8.7109375" customWidth="1"/>
  </cols>
  <sheetData>
    <row r="1" spans="1:13" ht="32.25" customHeight="1" x14ac:dyDescent="0.25">
      <c r="B1" s="315" t="str">
        <f>CONCATENATE(Квоты!BC6,Квоты!E8)</f>
        <v>Коммерческое предложение для ООО "</v>
      </c>
      <c r="C1" s="315"/>
      <c r="D1" s="315"/>
      <c r="E1" s="315"/>
      <c r="F1" s="315"/>
      <c r="G1" s="315"/>
      <c r="H1" s="315"/>
      <c r="I1" s="315"/>
      <c r="J1" s="315"/>
      <c r="K1" s="315"/>
      <c r="L1" s="315"/>
      <c r="M1" s="315"/>
    </row>
    <row r="2" spans="1:13" ht="6" customHeight="1" x14ac:dyDescent="0.25"/>
    <row r="3" spans="1:13" ht="15.75" x14ac:dyDescent="0.25">
      <c r="B3" s="46"/>
      <c r="C3" s="322" t="s">
        <v>45</v>
      </c>
      <c r="D3" s="322"/>
    </row>
    <row r="4" spans="1:13" ht="15.75" x14ac:dyDescent="0.25">
      <c r="B4" s="46"/>
      <c r="C4" s="323" t="s">
        <v>46</v>
      </c>
      <c r="D4" s="323"/>
    </row>
    <row r="5" spans="1:13" ht="15.75" x14ac:dyDescent="0.25">
      <c r="B5" s="46"/>
      <c r="C5" s="323" t="s">
        <v>47</v>
      </c>
      <c r="D5" s="323"/>
      <c r="J5" s="2"/>
      <c r="K5" s="2"/>
    </row>
    <row r="6" spans="1:13" ht="15.75" x14ac:dyDescent="0.25">
      <c r="B6" s="46"/>
      <c r="C6" s="270" t="s">
        <v>48</v>
      </c>
      <c r="D6" s="270"/>
    </row>
    <row r="7" spans="1:13" ht="15.75" x14ac:dyDescent="0.25">
      <c r="B7" s="46"/>
      <c r="C7" s="266" t="s">
        <v>49</v>
      </c>
      <c r="D7" s="266"/>
    </row>
    <row r="8" spans="1:13" ht="9" customHeight="1" x14ac:dyDescent="0.25">
      <c r="B8" s="179"/>
      <c r="C8" s="180"/>
      <c r="D8" s="180"/>
    </row>
    <row r="9" spans="1:13" ht="15.75" x14ac:dyDescent="0.25">
      <c r="B9" s="49" t="s">
        <v>60</v>
      </c>
      <c r="C9" s="56">
        <f>Квоты!E9</f>
        <v>0</v>
      </c>
      <c r="D9" s="180"/>
    </row>
    <row r="10" spans="1:13" ht="15.75" x14ac:dyDescent="0.25">
      <c r="B10" s="49" t="s">
        <v>61</v>
      </c>
      <c r="C10" s="316">
        <f ca="1">TODAY()</f>
        <v>42559</v>
      </c>
      <c r="D10" s="316"/>
    </row>
    <row r="11" spans="1:13" ht="6" customHeight="1" thickBot="1" x14ac:dyDescent="0.3">
      <c r="B11" s="46"/>
    </row>
    <row r="12" spans="1:13" s="34" customFormat="1" ht="19.5" thickBot="1" x14ac:dyDescent="0.3">
      <c r="A12" s="52"/>
      <c r="B12" s="291" t="s">
        <v>44</v>
      </c>
      <c r="C12" s="292"/>
      <c r="D12" s="177" t="s">
        <v>56</v>
      </c>
      <c r="E12" s="168"/>
      <c r="F12" s="171"/>
      <c r="G12" s="171"/>
      <c r="H12" s="171"/>
      <c r="I12" s="171"/>
      <c r="J12" s="171"/>
      <c r="K12" s="171"/>
    </row>
    <row r="13" spans="1:13" ht="30.75" thickBot="1" x14ac:dyDescent="0.3">
      <c r="A13" s="83" t="s">
        <v>1</v>
      </c>
      <c r="B13" s="84" t="s">
        <v>0</v>
      </c>
      <c r="C13" s="86" t="s">
        <v>50</v>
      </c>
      <c r="D13" s="166" t="s">
        <v>0</v>
      </c>
      <c r="E13" s="169" t="s">
        <v>50</v>
      </c>
      <c r="F13" s="169" t="s">
        <v>6</v>
      </c>
      <c r="G13" s="169" t="s">
        <v>7</v>
      </c>
      <c r="H13" s="169" t="s">
        <v>57</v>
      </c>
      <c r="I13" s="170" t="s">
        <v>43</v>
      </c>
      <c r="J13" s="169" t="s">
        <v>93</v>
      </c>
      <c r="K13" s="175" t="s">
        <v>94</v>
      </c>
      <c r="L13" s="174" t="s">
        <v>112</v>
      </c>
      <c r="M13" s="167" t="s">
        <v>113</v>
      </c>
    </row>
    <row r="14" spans="1:13" ht="15.75" thickBot="1" x14ac:dyDescent="0.3">
      <c r="A14" s="80">
        <v>1</v>
      </c>
      <c r="B14" s="125" t="s">
        <v>79</v>
      </c>
      <c r="C14" s="126">
        <v>10</v>
      </c>
      <c r="D14" s="178" t="s">
        <v>114</v>
      </c>
      <c r="E14" s="126">
        <v>11</v>
      </c>
      <c r="F14" s="126" t="s">
        <v>65</v>
      </c>
      <c r="G14" s="126" t="s">
        <v>67</v>
      </c>
      <c r="H14" s="126" t="s">
        <v>66</v>
      </c>
      <c r="I14" s="126" t="s">
        <v>80</v>
      </c>
      <c r="J14" s="127">
        <v>2.8</v>
      </c>
      <c r="K14" s="172">
        <v>28</v>
      </c>
      <c r="L14" s="176"/>
      <c r="M14" s="149"/>
    </row>
    <row r="15" spans="1:13" ht="15.75" thickBot="1" x14ac:dyDescent="0.3">
      <c r="K15" s="87">
        <v>28</v>
      </c>
      <c r="M15" s="173"/>
    </row>
    <row r="20" spans="4:12" x14ac:dyDescent="0.25">
      <c r="D20" s="2"/>
      <c r="E20" s="2"/>
      <c r="F20" s="2"/>
      <c r="G20" s="2"/>
      <c r="H20" s="2"/>
    </row>
    <row r="24" spans="4:12" x14ac:dyDescent="0.25">
      <c r="L24" s="2"/>
    </row>
    <row r="25" spans="4:12" x14ac:dyDescent="0.25">
      <c r="L25" s="2"/>
    </row>
    <row r="26" spans="4:12" x14ac:dyDescent="0.25">
      <c r="L26" s="2"/>
    </row>
    <row r="27" spans="4:12" x14ac:dyDescent="0.25">
      <c r="L27" s="2"/>
    </row>
    <row r="28" spans="4:12" x14ac:dyDescent="0.25">
      <c r="L28" s="2"/>
    </row>
    <row r="29" spans="4:12" x14ac:dyDescent="0.25">
      <c r="L29" s="2"/>
    </row>
    <row r="30" spans="4:12" x14ac:dyDescent="0.25">
      <c r="L30" s="2"/>
    </row>
    <row r="31" spans="4:12" x14ac:dyDescent="0.25">
      <c r="L31" s="2"/>
    </row>
    <row r="32" spans="4:12" x14ac:dyDescent="0.25">
      <c r="L32" s="2"/>
    </row>
    <row r="33" spans="12:12" x14ac:dyDescent="0.25">
      <c r="L33" s="2"/>
    </row>
    <row r="34" spans="12:12" x14ac:dyDescent="0.25">
      <c r="L34" s="2"/>
    </row>
    <row r="35" spans="12:12" x14ac:dyDescent="0.25">
      <c r="L35" s="2"/>
    </row>
    <row r="36" spans="12:12" x14ac:dyDescent="0.25">
      <c r="L36" s="2"/>
    </row>
  </sheetData>
  <mergeCells count="8">
    <mergeCell ref="B1:M1"/>
    <mergeCell ref="C10:D10"/>
    <mergeCell ref="B12:C12"/>
    <mergeCell ref="C3:D3"/>
    <mergeCell ref="C4:D4"/>
    <mergeCell ref="C5:D5"/>
    <mergeCell ref="C6:D6"/>
    <mergeCell ref="C7:D7"/>
  </mergeCells>
  <hyperlinks>
    <hyperlink ref="C5" r:id="rId1"/>
    <hyperlink ref="C4" r:id="rId2"/>
  </hyperlinks>
  <pageMargins left="0.23622047244094491" right="0.23622047244094491" top="0.35433070866141736" bottom="0.35433070866141736" header="0.31496062992125984" footer="0.31496062992125984"/>
  <pageSetup paperSize="9" scale="83" fitToHeight="0" orientation="landscape" r:id="rId3"/>
  <colBreaks count="1" manualBreakCount="1">
    <brk id="13" max="22" man="1"/>
  </colBreaks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7</vt:i4>
      </vt:variant>
    </vt:vector>
  </HeadingPairs>
  <TitlesOfParts>
    <vt:vector size="10" baseType="lpstr">
      <vt:lpstr>Запрос квот</vt:lpstr>
      <vt:lpstr>Квоты</vt:lpstr>
      <vt:lpstr>Анкета</vt:lpstr>
      <vt:lpstr>АГ!Область_печати</vt:lpstr>
      <vt:lpstr>Закупка!Область_печати</vt:lpstr>
      <vt:lpstr>КП!Область_печати</vt:lpstr>
      <vt:lpstr>КПрезерв!Область_печати</vt:lpstr>
      <vt:lpstr>КПэкс!Область_печати</vt:lpstr>
      <vt:lpstr>Спец!Область_печати</vt:lpstr>
      <vt:lpstr>Счет!Область_печати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Баронкин</dc:creator>
  <cp:lastModifiedBy>Виталий Баронкин</cp:lastModifiedBy>
  <cp:lastPrinted>2016-05-05T07:51:17Z</cp:lastPrinted>
  <dcterms:created xsi:type="dcterms:W3CDTF">2014-03-20T08:42:56Z</dcterms:created>
  <dcterms:modified xsi:type="dcterms:W3CDTF">2016-07-08T10:49:59Z</dcterms:modified>
</cp:coreProperties>
</file>